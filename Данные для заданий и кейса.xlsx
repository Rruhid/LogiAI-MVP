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-120" yWindow="-120" windowWidth="38640" windowHeight="21240"/>
  </bookViews>
  <sheets>
    <sheet name="data" sheetId="1" r:id="rId1"/>
  </sheets>
  <externalReferences>
    <externalReference r:id="rId2"/>
  </externalReferences>
  <definedNames>
    <definedName name="_xlnm._FilterDatabase" localSheetId="0" hidden="1">data!$A$1:$Q$250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0" i="1" l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<sst xmlns="http://schemas.openxmlformats.org/spreadsheetml/2006/main" count="1013" uniqueCount="87">
  <si>
    <t>Дата смены</t>
  </si>
  <si>
    <t>Название компании курьера</t>
  </si>
  <si>
    <t>Ид смены курьера</t>
  </si>
  <si>
    <t>Кол-во отсканированных на СЦ заказов</t>
  </si>
  <si>
    <t>Кол-во заказов в самовывоз</t>
  </si>
  <si>
    <t>Кол-во адресов самовывоза</t>
  </si>
  <si>
    <t>Общее кол-во адресов доставки</t>
  </si>
  <si>
    <t>Общее кол-во доставленных заказов</t>
  </si>
  <si>
    <t>Компания_1</t>
  </si>
  <si>
    <t>Компания_2</t>
  </si>
  <si>
    <t>Компания_3</t>
  </si>
  <si>
    <t>Компания_4</t>
  </si>
  <si>
    <t>Компания_5</t>
  </si>
  <si>
    <t>Компания_6</t>
  </si>
  <si>
    <t>Компания_7</t>
  </si>
  <si>
    <t>Компания_8</t>
  </si>
  <si>
    <t>Компания_9</t>
  </si>
  <si>
    <t>Компания_10</t>
  </si>
  <si>
    <t>Компания_11</t>
  </si>
  <si>
    <t>Компания_12</t>
  </si>
  <si>
    <t>Компания_13</t>
  </si>
  <si>
    <t>Компания_14</t>
  </si>
  <si>
    <t>Компания_15</t>
  </si>
  <si>
    <t>Компания_16</t>
  </si>
  <si>
    <t>Компания_17</t>
  </si>
  <si>
    <t>Грузовая</t>
  </si>
  <si>
    <t>Легковая</t>
  </si>
  <si>
    <t>Название станции доставки</t>
  </si>
  <si>
    <t>Тип_авто</t>
  </si>
  <si>
    <t>СД_2</t>
  </si>
  <si>
    <t>СД_29</t>
  </si>
  <si>
    <t>СД_31</t>
  </si>
  <si>
    <t>СД_11</t>
  </si>
  <si>
    <t>СД_18</t>
  </si>
  <si>
    <t>СД_36</t>
  </si>
  <si>
    <t>СД_9</t>
  </si>
  <si>
    <t>СД_4</t>
  </si>
  <si>
    <t>СД_12</t>
  </si>
  <si>
    <t>СД_37</t>
  </si>
  <si>
    <t>СД_33</t>
  </si>
  <si>
    <t>СД_16</t>
  </si>
  <si>
    <t>СД_7</t>
  </si>
  <si>
    <t>СД_32</t>
  </si>
  <si>
    <t>СД_14</t>
  </si>
  <si>
    <t>СД_15</t>
  </si>
  <si>
    <t>СД_1</t>
  </si>
  <si>
    <t>СД_13</t>
  </si>
  <si>
    <t>СД_21</t>
  </si>
  <si>
    <t>СД_8</t>
  </si>
  <si>
    <t>СД_22</t>
  </si>
  <si>
    <t>СД_24</t>
  </si>
  <si>
    <t>СД_10</t>
  </si>
  <si>
    <t>СД_5</t>
  </si>
  <si>
    <t>СД_6</t>
  </si>
  <si>
    <t>СД_35</t>
  </si>
  <si>
    <t>СД_20</t>
  </si>
  <si>
    <t>СД_26</t>
  </si>
  <si>
    <t>СД_23</t>
  </si>
  <si>
    <t>СД_27</t>
  </si>
  <si>
    <t>СД_3</t>
  </si>
  <si>
    <t>СД_28</t>
  </si>
  <si>
    <t>08:30:00</t>
  </si>
  <si>
    <t>10:00:00</t>
  </si>
  <si>
    <t>07:30:00</t>
  </si>
  <si>
    <t>09:00:00</t>
  </si>
  <si>
    <t>07:00:00</t>
  </si>
  <si>
    <t>11:00:00</t>
  </si>
  <si>
    <t>08:45:00</t>
  </si>
  <si>
    <t>10:30:00</t>
  </si>
  <si>
    <t>06:00:00</t>
  </si>
  <si>
    <t>09:30:00</t>
  </si>
  <si>
    <t>14:00:00</t>
  </si>
  <si>
    <t>12:00:00</t>
  </si>
  <si>
    <t>11:30:00</t>
  </si>
  <si>
    <t>08:00:00</t>
  </si>
  <si>
    <t>12:30:00</t>
  </si>
  <si>
    <t>13:00:00</t>
  </si>
  <si>
    <t>14:40:00</t>
  </si>
  <si>
    <t>17:00:00</t>
  </si>
  <si>
    <t>14:34:00</t>
  </si>
  <si>
    <r>
      <rPr>
        <u/>
        <sz val="11"/>
        <color theme="1"/>
        <rFont val="Calibri (Body)"/>
      </rPr>
      <t>Плановое</t>
    </r>
    <r>
      <rPr>
        <sz val="11"/>
        <color theme="1"/>
        <rFont val="Calibri"/>
        <family val="2"/>
        <scheme val="minor"/>
      </rPr>
      <t xml:space="preserve"> начало смены (время начала погрузки на станции доставки)</t>
    </r>
  </si>
  <si>
    <t>Среднее время на станции доставки, мин (факт)</t>
  </si>
  <si>
    <t>Среднее время до 1-й точки маршрута, мин (факт)</t>
  </si>
  <si>
    <t>Среднее время на точке маршрута, мин (факт)</t>
  </si>
  <si>
    <t>Среднее время между точками маршрута, мин (факт)</t>
  </si>
  <si>
    <t>Протяженность маршрута курьера, км (факт)</t>
  </si>
  <si>
    <t>Город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</si>
</sst>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[$-F400]h:mm:ss\ AM/PM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3" fontId="0" fillId="0" borderId="0" xfId="1" applyFont="1"/>
    <xf numFmtId="0" fontId="0" fillId="0" borderId="0" xfId="0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164" fontId="0" fillId="0" borderId="0" xfId="1" applyNumberFormat="1" applyFont="1"/>
    <xf numFmtId="16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wnloads/&#1044;&#1072;&#1085;&#1085;&#1099;&#1077;%20&#1076;&#1083;&#1103;%20&#1079;&#1072;&#1076;&#1072;&#1085;&#1080;&#1080;&#774;%20&#1080;%20&#1082;&#1077;&#1080;&#774;&#1089;&#1072;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vt ФИО"/>
      <sheetName val="Sheet9"/>
      <sheetName val="ФИО"/>
      <sheetName val="data"/>
      <sheetName val="Город"/>
      <sheetName val="pvt города"/>
    </sheetNames>
    <sheetDataSet>
      <sheetData sheetId="0"/>
      <sheetData sheetId="1"/>
      <sheetData sheetId="2"/>
      <sheetData sheetId="3"/>
      <sheetData sheetId="4">
        <row r="1">
          <cell r="E1" t="str">
            <v>*</v>
          </cell>
        </row>
        <row r="2">
          <cell r="C2" t="str">
            <v>СД_33</v>
          </cell>
          <cell r="D2">
            <v>51209</v>
          </cell>
          <cell r="E2" t="str">
            <v>Москва</v>
          </cell>
        </row>
        <row r="3">
          <cell r="C3" t="str">
            <v>СД_2</v>
          </cell>
          <cell r="D3">
            <v>33061</v>
          </cell>
          <cell r="E3" t="str">
            <v>Санкт-Петербург</v>
          </cell>
        </row>
        <row r="4">
          <cell r="C4" t="str">
            <v>СД_32</v>
          </cell>
          <cell r="D4">
            <v>30742</v>
          </cell>
          <cell r="E4" t="str">
            <v>Новосибирск</v>
          </cell>
        </row>
        <row r="5">
          <cell r="C5" t="str">
            <v>СД_31</v>
          </cell>
          <cell r="D5">
            <v>30397</v>
          </cell>
          <cell r="E5" t="str">
            <v>Екатеринбург</v>
          </cell>
        </row>
        <row r="6">
          <cell r="C6" t="str">
            <v>СД_36</v>
          </cell>
          <cell r="D6">
            <v>19602</v>
          </cell>
          <cell r="E6" t="str">
            <v>Москва</v>
          </cell>
        </row>
        <row r="7">
          <cell r="C7" t="str">
            <v>СД_4</v>
          </cell>
          <cell r="D7">
            <v>17807</v>
          </cell>
          <cell r="E7" t="str">
            <v>Казань</v>
          </cell>
        </row>
        <row r="8">
          <cell r="C8" t="str">
            <v>СД_18</v>
          </cell>
          <cell r="D8">
            <v>9900</v>
          </cell>
          <cell r="E8" t="str">
            <v>Нижний Новгород</v>
          </cell>
        </row>
        <row r="9">
          <cell r="C9" t="str">
            <v>СД_12</v>
          </cell>
          <cell r="D9">
            <v>9297</v>
          </cell>
          <cell r="E9" t="str">
            <v>Челябинск</v>
          </cell>
        </row>
        <row r="10">
          <cell r="C10" t="str">
            <v>СД_15</v>
          </cell>
          <cell r="D10">
            <v>9109</v>
          </cell>
          <cell r="E10" t="str">
            <v>Красноярск</v>
          </cell>
        </row>
        <row r="11">
          <cell r="C11" t="str">
            <v>СД_29</v>
          </cell>
          <cell r="D11">
            <v>8533</v>
          </cell>
          <cell r="E11" t="str">
            <v>Самара</v>
          </cell>
        </row>
        <row r="12">
          <cell r="C12" t="str">
            <v>СД_11</v>
          </cell>
          <cell r="D12">
            <v>6097</v>
          </cell>
          <cell r="E12" t="str">
            <v>Уфа</v>
          </cell>
        </row>
        <row r="13">
          <cell r="C13" t="str">
            <v>СД_27</v>
          </cell>
          <cell r="D13">
            <v>3976</v>
          </cell>
          <cell r="E13" t="str">
            <v>Ростов-на-Дону</v>
          </cell>
        </row>
        <row r="14">
          <cell r="C14" t="str">
            <v>СД_9</v>
          </cell>
          <cell r="D14">
            <v>3549</v>
          </cell>
          <cell r="E14" t="str">
            <v>Омск</v>
          </cell>
        </row>
        <row r="15">
          <cell r="C15" t="str">
            <v>СД_30</v>
          </cell>
          <cell r="D15">
            <v>3313</v>
          </cell>
          <cell r="E15" t="str">
            <v>Краснодар</v>
          </cell>
        </row>
        <row r="16">
          <cell r="C16" t="str">
            <v>СД_22</v>
          </cell>
          <cell r="D16">
            <v>2701</v>
          </cell>
          <cell r="E16" t="str">
            <v>Санкт-Петербург</v>
          </cell>
        </row>
        <row r="17">
          <cell r="C17" t="str">
            <v>СД_26</v>
          </cell>
          <cell r="D17">
            <v>2607</v>
          </cell>
          <cell r="E17" t="str">
            <v>Воронеж</v>
          </cell>
        </row>
        <row r="18">
          <cell r="C18" t="str">
            <v>СД_7</v>
          </cell>
          <cell r="D18">
            <v>2505</v>
          </cell>
          <cell r="E18" t="str">
            <v>Пермь</v>
          </cell>
        </row>
        <row r="19">
          <cell r="C19" t="str">
            <v>СД_1</v>
          </cell>
          <cell r="D19">
            <v>2408</v>
          </cell>
          <cell r="E19" t="str">
            <v>Волгоград</v>
          </cell>
        </row>
        <row r="20">
          <cell r="C20" t="str">
            <v>СД_20</v>
          </cell>
          <cell r="D20">
            <v>2401</v>
          </cell>
          <cell r="E20" t="str">
            <v>Саратов</v>
          </cell>
        </row>
        <row r="21">
          <cell r="C21" t="str">
            <v>СД_23</v>
          </cell>
          <cell r="D21">
            <v>2297</v>
          </cell>
          <cell r="E21" t="str">
            <v>Тюмень</v>
          </cell>
        </row>
        <row r="22">
          <cell r="C22" t="str">
            <v>СД_6</v>
          </cell>
          <cell r="D22">
            <v>2171</v>
          </cell>
          <cell r="E22" t="str">
            <v>Тольятти</v>
          </cell>
        </row>
        <row r="23">
          <cell r="C23" t="str">
            <v>СД_14</v>
          </cell>
          <cell r="D23">
            <v>2048</v>
          </cell>
          <cell r="E23" t="str">
            <v>Барнаул</v>
          </cell>
        </row>
        <row r="24">
          <cell r="C24" t="str">
            <v>СД_10</v>
          </cell>
          <cell r="D24">
            <v>2022</v>
          </cell>
          <cell r="E24" t="str">
            <v>Ижевск</v>
          </cell>
        </row>
        <row r="25">
          <cell r="C25" t="str">
            <v>СД_35</v>
          </cell>
          <cell r="D25">
            <v>1986</v>
          </cell>
          <cell r="E25" t="str">
            <v>Махачкала</v>
          </cell>
        </row>
        <row r="26">
          <cell r="C26" t="str">
            <v>СД_28</v>
          </cell>
          <cell r="D26">
            <v>1924</v>
          </cell>
          <cell r="E26" t="str">
            <v>Иркутск</v>
          </cell>
        </row>
        <row r="27">
          <cell r="C27" t="str">
            <v>СД_16</v>
          </cell>
          <cell r="D27">
            <v>1924</v>
          </cell>
          <cell r="E27" t="str">
            <v>Ульяновск</v>
          </cell>
        </row>
        <row r="28">
          <cell r="C28" t="str">
            <v>СД_21</v>
          </cell>
          <cell r="D28">
            <v>1887</v>
          </cell>
          <cell r="E28" t="str">
            <v>Хабаровск</v>
          </cell>
        </row>
        <row r="29">
          <cell r="C29" t="str">
            <v>СД_8</v>
          </cell>
          <cell r="D29">
            <v>1845</v>
          </cell>
          <cell r="E29" t="str">
            <v>Владивосток</v>
          </cell>
        </row>
        <row r="30">
          <cell r="C30" t="str">
            <v>СД_19</v>
          </cell>
          <cell r="D30">
            <v>1566</v>
          </cell>
          <cell r="E30" t="str">
            <v>Ярославль</v>
          </cell>
        </row>
        <row r="31">
          <cell r="C31" t="str">
            <v>СД_17</v>
          </cell>
          <cell r="D31">
            <v>1404</v>
          </cell>
          <cell r="E31" t="str">
            <v>Кемерово</v>
          </cell>
        </row>
        <row r="32">
          <cell r="C32" t="str">
            <v>СД_34</v>
          </cell>
          <cell r="D32">
            <v>1324</v>
          </cell>
          <cell r="E32" t="str">
            <v>Томск</v>
          </cell>
        </row>
        <row r="33">
          <cell r="C33" t="str">
            <v>СД_5</v>
          </cell>
          <cell r="D33">
            <v>1273</v>
          </cell>
          <cell r="E33" t="str">
            <v>Московская область</v>
          </cell>
        </row>
        <row r="34">
          <cell r="C34" t="str">
            <v>СД_13</v>
          </cell>
          <cell r="D34">
            <v>1253</v>
          </cell>
          <cell r="E34" t="str">
            <v>Московская область</v>
          </cell>
        </row>
        <row r="35">
          <cell r="C35" t="str">
            <v>СД_3</v>
          </cell>
          <cell r="D35">
            <v>649</v>
          </cell>
          <cell r="E35" t="str">
            <v>Московская область</v>
          </cell>
        </row>
        <row r="36">
          <cell r="C36" t="str">
            <v>СД_24</v>
          </cell>
          <cell r="D36">
            <v>461</v>
          </cell>
          <cell r="E36" t="str">
            <v>Московская область</v>
          </cell>
        </row>
        <row r="37">
          <cell r="C37" t="str">
            <v>СД_37</v>
          </cell>
          <cell r="D37">
            <v>426</v>
          </cell>
          <cell r="E37" t="str">
            <v>Московская область</v>
          </cell>
        </row>
        <row r="38">
          <cell r="C38" t="str">
            <v>СД_25</v>
          </cell>
          <cell r="D38">
            <v>28</v>
          </cell>
          <cell r="E38" t="str">
            <v>Московская область</v>
          </cell>
        </row>
        <row r="39">
          <cell r="E39" t="str">
            <v>Балашиха[14]</v>
          </cell>
        </row>
        <row r="40">
          <cell r="E40" t="str">
            <v>Пенза</v>
          </cell>
        </row>
        <row r="41">
          <cell r="E41" t="str">
            <v>Чебоксары</v>
          </cell>
        </row>
        <row r="42">
          <cell r="E42" t="str">
            <v>Липецк</v>
          </cell>
        </row>
        <row r="43">
          <cell r="E43" t="str">
            <v>Калининград</v>
          </cell>
        </row>
        <row r="44">
          <cell r="E44" t="str">
            <v>Астрахань</v>
          </cell>
        </row>
        <row r="45">
          <cell r="E45" t="str">
            <v>Тула</v>
          </cell>
        </row>
        <row r="46">
          <cell r="E46" t="str">
            <v>Киров</v>
          </cell>
        </row>
        <row r="47">
          <cell r="E47" t="str">
            <v>Сочи</v>
          </cell>
        </row>
        <row r="48">
          <cell r="E48" t="str">
            <v>Курск</v>
          </cell>
        </row>
        <row r="49">
          <cell r="E49" t="str">
            <v>Улан-Удэ</v>
          </cell>
        </row>
        <row r="50">
          <cell r="E50" t="str">
            <v>Тверь</v>
          </cell>
        </row>
        <row r="51">
          <cell r="E51" t="str">
            <v>Магнитогорск</v>
          </cell>
        </row>
        <row r="52">
          <cell r="E52" t="str">
            <v>Сургут</v>
          </cell>
        </row>
        <row r="53">
          <cell r="E53" t="str">
            <v>Брянск</v>
          </cell>
        </row>
        <row r="54">
          <cell r="E54" t="str">
            <v>Иваново</v>
          </cell>
        </row>
        <row r="55">
          <cell r="E55" t="str">
            <v>Якутск</v>
          </cell>
        </row>
        <row r="56">
          <cell r="E56" t="str">
            <v>Владимир</v>
          </cell>
        </row>
        <row r="57">
          <cell r="E57" t="str">
            <v>Симферополь</v>
          </cell>
        </row>
        <row r="58">
          <cell r="E58" t="str">
            <v>[13]</v>
          </cell>
        </row>
        <row r="59">
          <cell r="E59" t="str">
            <v>Белгород</v>
          </cell>
        </row>
        <row r="60">
          <cell r="E60" t="str">
            <v>Нижний Тагил</v>
          </cell>
        </row>
        <row r="61">
          <cell r="E61" t="str">
            <v>Калуга</v>
          </cell>
        </row>
        <row r="62">
          <cell r="E62" t="str">
            <v>Чита</v>
          </cell>
        </row>
        <row r="63">
          <cell r="E63" t="str">
            <v>Грозный</v>
          </cell>
        </row>
        <row r="64">
          <cell r="E64" t="str">
            <v>Волжский</v>
          </cell>
        </row>
        <row r="65">
          <cell r="E65" t="str">
            <v>Смоленск</v>
          </cell>
        </row>
        <row r="66">
          <cell r="E66" t="str">
            <v>Подольск[15]</v>
          </cell>
        </row>
        <row r="67">
          <cell r="E67" t="str">
            <v>Саранск</v>
          </cell>
        </row>
        <row r="68">
          <cell r="E68" t="str">
            <v>Вологда</v>
          </cell>
        </row>
        <row r="69">
          <cell r="E69" t="str">
            <v>Курган</v>
          </cell>
        </row>
        <row r="70">
          <cell r="E70" t="str">
            <v>Череповец</v>
          </cell>
        </row>
        <row r="71">
          <cell r="E71" t="str">
            <v>Орёл</v>
          </cell>
        </row>
        <row r="72">
          <cell r="E72" t="str">
            <v>Архангельск</v>
          </cell>
        </row>
        <row r="73">
          <cell r="E73" t="str">
            <v>Владикавказ</v>
          </cell>
        </row>
        <row r="74">
          <cell r="E74" t="str">
            <v>Нижневартовск</v>
          </cell>
        </row>
        <row r="75">
          <cell r="E75" t="str">
            <v>Йошкар-Ола</v>
          </cell>
        </row>
        <row r="76">
          <cell r="E76" t="str">
            <v>Стерлитамак</v>
          </cell>
        </row>
        <row r="77">
          <cell r="E77" t="str">
            <v>Мурманск</v>
          </cell>
        </row>
        <row r="78">
          <cell r="E78" t="str">
            <v>Кострома</v>
          </cell>
        </row>
        <row r="79">
          <cell r="E79" t="str">
            <v>Новороссийск</v>
          </cell>
        </row>
        <row r="80">
          <cell r="E80" t="str">
            <v>Тамбов</v>
          </cell>
        </row>
        <row r="81">
          <cell r="E81" t="str">
            <v>Химки</v>
          </cell>
        </row>
        <row r="82">
          <cell r="E82" t="str">
            <v>Мытищи</v>
          </cell>
        </row>
        <row r="83">
          <cell r="E83" t="str">
            <v>Нальчик</v>
          </cell>
        </row>
        <row r="84">
          <cell r="E84" t="str">
            <v>Таганрог</v>
          </cell>
        </row>
        <row r="85">
          <cell r="E85" t="str">
            <v>Благовещенск</v>
          </cell>
        </row>
        <row r="86">
          <cell r="E86" t="str">
            <v>Нижнекамск</v>
          </cell>
        </row>
        <row r="87">
          <cell r="E87" t="str">
            <v>Комсомольск-на-Амуре</v>
          </cell>
        </row>
        <row r="88">
          <cell r="E88" t="str">
            <v>Петрозаводск</v>
          </cell>
        </row>
        <row r="89">
          <cell r="E89" t="str">
            <v>Королёв[16]</v>
          </cell>
        </row>
        <row r="90">
          <cell r="E90" t="str">
            <v>Шахты</v>
          </cell>
        </row>
        <row r="91">
          <cell r="E91" t="str">
            <v>Энгельс</v>
          </cell>
        </row>
        <row r="92">
          <cell r="E92" t="str">
            <v>Братск</v>
          </cell>
        </row>
        <row r="93">
          <cell r="E93" t="str">
            <v>Великий Новгород</v>
          </cell>
        </row>
        <row r="94">
          <cell r="E94" t="str">
            <v>Люберцы</v>
          </cell>
        </row>
        <row r="95">
          <cell r="E95" t="str">
            <v>Старый Оскол</v>
          </cell>
        </row>
        <row r="96">
          <cell r="E96" t="str">
            <v>Ангарск</v>
          </cell>
        </row>
        <row r="97">
          <cell r="E97" t="str">
            <v>Сыктывкар</v>
          </cell>
        </row>
        <row r="98">
          <cell r="E98" t="str">
            <v>Дзержинск</v>
          </cell>
        </row>
        <row r="99">
          <cell r="E99" t="str">
            <v>Псков</v>
          </cell>
        </row>
        <row r="100">
          <cell r="E100" t="str">
            <v>Орск</v>
          </cell>
        </row>
        <row r="101">
          <cell r="E101" t="str">
            <v>Красногорск</v>
          </cell>
        </row>
        <row r="102">
          <cell r="E102" t="str">
            <v>Армавир</v>
          </cell>
        </row>
        <row r="103">
          <cell r="E103" t="str">
            <v>Абакан</v>
          </cell>
        </row>
        <row r="104">
          <cell r="E104" t="str">
            <v>Балаково</v>
          </cell>
        </row>
        <row r="105">
          <cell r="E105" t="str">
            <v>Бийск</v>
          </cell>
        </row>
        <row r="106">
          <cell r="E106" t="str">
            <v>Южно-Сахалинск</v>
          </cell>
        </row>
        <row r="107">
          <cell r="E107" t="str">
            <v>Одинцово</v>
          </cell>
        </row>
        <row r="108">
          <cell r="E108" t="str">
            <v>Уссурийск</v>
          </cell>
        </row>
        <row r="109">
          <cell r="E109" t="str">
            <v>Прокопьевск</v>
          </cell>
        </row>
        <row r="110">
          <cell r="E110" t="str">
            <v>Рыбинск</v>
          </cell>
        </row>
        <row r="111">
          <cell r="E111" t="str">
            <v>Норильск</v>
          </cell>
        </row>
        <row r="112">
          <cell r="E112" t="str">
            <v>Волгодонск</v>
          </cell>
        </row>
        <row r="113">
          <cell r="E113" t="str">
            <v>Сызрань</v>
          </cell>
        </row>
        <row r="114">
          <cell r="E114" t="str">
            <v>Петропавловск-Камчатский</v>
          </cell>
        </row>
        <row r="115">
          <cell r="E115" t="str">
            <v>Альметьевск</v>
          </cell>
        </row>
        <row r="116">
          <cell r="E116" t="str">
            <v>Каменск-Уральский</v>
          </cell>
        </row>
        <row r="117">
          <cell r="E117" t="str">
            <v>Новочеркасск</v>
          </cell>
        </row>
        <row r="118">
          <cell r="E118" t="str">
            <v>Златоуст</v>
          </cell>
        </row>
        <row r="119">
          <cell r="E119" t="str">
            <v>Северодвинск</v>
          </cell>
        </row>
        <row r="120">
          <cell r="E120" t="str">
            <v>Керчь[13]</v>
          </cell>
        </row>
        <row r="121">
          <cell r="E121" t="str">
            <v>Хасавюрт</v>
          </cell>
        </row>
        <row r="122">
          <cell r="E122" t="str">
            <v>Домодедово</v>
          </cell>
        </row>
        <row r="123">
          <cell r="E123" t="str">
            <v>Салават</v>
          </cell>
        </row>
        <row r="124">
          <cell r="E124" t="str">
            <v>Копейск</v>
          </cell>
        </row>
        <row r="125">
          <cell r="E125" t="str">
            <v>Миасс</v>
          </cell>
        </row>
        <row r="126">
          <cell r="E126" t="str">
            <v>Пятигорск</v>
          </cell>
        </row>
        <row r="127">
          <cell r="E127" t="str">
            <v>Электросталь</v>
          </cell>
        </row>
        <row r="128">
          <cell r="E128" t="str">
            <v>Майкоп</v>
          </cell>
        </row>
        <row r="129">
          <cell r="E129" t="str">
            <v>Находка</v>
          </cell>
        </row>
        <row r="130">
          <cell r="E130" t="str">
            <v>Березники</v>
          </cell>
        </row>
        <row r="131">
          <cell r="E131" t="str">
            <v>Коломна</v>
          </cell>
        </row>
        <row r="132">
          <cell r="E132" t="str">
            <v>Серпухов</v>
          </cell>
        </row>
        <row r="133">
          <cell r="E133" t="str">
            <v>Щёлково</v>
          </cell>
        </row>
        <row r="134">
          <cell r="E134" t="str">
            <v>Ковров</v>
          </cell>
        </row>
        <row r="135">
          <cell r="E135" t="str">
            <v>Нефтекамск</v>
          </cell>
        </row>
        <row r="136">
          <cell r="E136" t="str">
            <v>Кисловодск</v>
          </cell>
        </row>
        <row r="137">
          <cell r="E137" t="str">
            <v>Батайск</v>
          </cell>
        </row>
        <row r="138">
          <cell r="E138" t="str">
            <v>Рубцовск</v>
          </cell>
        </row>
        <row r="139">
          <cell r="E139" t="str">
            <v>Дербент</v>
          </cell>
        </row>
        <row r="140">
          <cell r="E140" t="str">
            <v>Кызыл</v>
          </cell>
        </row>
        <row r="141">
          <cell r="E141" t="str">
            <v>Нефтеюганск</v>
          </cell>
        </row>
        <row r="142">
          <cell r="E142" t="str">
            <v>Обнинск</v>
          </cell>
        </row>
        <row r="143">
          <cell r="E143" t="str">
            <v>Назрань</v>
          </cell>
        </row>
        <row r="144">
          <cell r="E144" t="str">
            <v>Долгопрудный</v>
          </cell>
        </row>
        <row r="145">
          <cell r="E145" t="str">
            <v>Каспийск</v>
          </cell>
        </row>
        <row r="146">
          <cell r="E146" t="str">
            <v>Ессентуки</v>
          </cell>
        </row>
        <row r="147">
          <cell r="E147" t="str">
            <v>Новомосковск</v>
          </cell>
        </row>
        <row r="148">
          <cell r="E148" t="str">
            <v>Новочебоксарск</v>
          </cell>
        </row>
        <row r="149">
          <cell r="E149" t="str">
            <v>Невинномысск</v>
          </cell>
        </row>
        <row r="150">
          <cell r="E150" t="str">
            <v>Октябрьский</v>
          </cell>
        </row>
        <row r="151">
          <cell r="E151" t="str">
            <v>Раменское</v>
          </cell>
        </row>
        <row r="152">
          <cell r="E152" t="str">
            <v>Михайловск</v>
          </cell>
        </row>
        <row r="153">
          <cell r="E153" t="str">
            <v>Первоуральск</v>
          </cell>
        </row>
        <row r="154">
          <cell r="E154" t="str">
            <v>Реутов</v>
          </cell>
        </row>
        <row r="155">
          <cell r="E155" t="str">
            <v>Черкесск</v>
          </cell>
        </row>
        <row r="156">
          <cell r="E156" t="str">
            <v>Димитровград</v>
          </cell>
        </row>
        <row r="157">
          <cell r="E157" t="str">
            <v>Жуковский</v>
          </cell>
        </row>
        <row r="158">
          <cell r="E158" t="str">
            <v>Пушкино</v>
          </cell>
        </row>
        <row r="159">
          <cell r="E159" t="str">
            <v>Артём</v>
          </cell>
        </row>
        <row r="160">
          <cell r="E160" t="str">
            <v>Евпатория</v>
          </cell>
        </row>
        <row r="161">
          <cell r="E161" t="str">
            <v>[13]</v>
          </cell>
        </row>
        <row r="162">
          <cell r="E162" t="str">
            <v>Камышин</v>
          </cell>
        </row>
        <row r="163">
          <cell r="E163" t="str">
            <v>Муром</v>
          </cell>
        </row>
        <row r="164">
          <cell r="E164" t="str">
            <v>Новый Уренгой</v>
          </cell>
        </row>
        <row r="165">
          <cell r="E165" t="str">
            <v>Северск</v>
          </cell>
        </row>
        <row r="166">
          <cell r="E166" t="str">
            <v>Ханты-Мансийск</v>
          </cell>
        </row>
        <row r="167">
          <cell r="E167" t="str">
            <v>Орехово-Зуево</v>
          </cell>
        </row>
        <row r="168">
          <cell r="E168" t="str">
            <v>Арзамас</v>
          </cell>
        </row>
        <row r="169">
          <cell r="E169" t="str">
            <v>Ногинск</v>
          </cell>
        </row>
        <row r="170">
          <cell r="E170" t="str">
            <v>Бердск</v>
          </cell>
        </row>
        <row r="171">
          <cell r="E171" t="str">
            <v>Новошахтинск</v>
          </cell>
        </row>
        <row r="172">
          <cell r="E172" t="str">
            <v>Элиста</v>
          </cell>
        </row>
        <row r="173">
          <cell r="E173" t="str">
            <v>Сергиев Посад</v>
          </cell>
        </row>
        <row r="174">
          <cell r="E174" t="str">
            <v>Ачинск</v>
          </cell>
        </row>
        <row r="175">
          <cell r="E175" t="str">
            <v>Видное</v>
          </cell>
        </row>
        <row r="176">
          <cell r="E176" t="str">
            <v>Ноябрьск</v>
          </cell>
        </row>
        <row r="177">
          <cell r="E177" t="str">
            <v>Тобольск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BA00"/>
  </sheetPr>
  <dimension ref="A1:Q250"/>
  <sheetViews>
    <sheetView tabSelected="1" workbookViewId="0">
      <selection activeCell="L1" sqref="L1:L1048576"/>
    </sheetView>
  </sheetViews>
  <sheetFormatPr defaultColWidth="8.7265625" defaultRowHeight="14.5"/>
  <cols>
    <col min="1" max="3" width="15" customWidth="1"/>
    <col min="4" max="4" width="14.26953125" customWidth="1"/>
    <col min="5" max="5" width="12" customWidth="1"/>
    <col min="6" max="6" width="12" style="5" customWidth="1"/>
    <col min="7" max="7" width="12" customWidth="1"/>
    <col min="8" max="10" width="12" style="1" customWidth="1"/>
    <col min="11" max="11" width="12" customWidth="1"/>
    <col min="12" max="12" width="12" style="9" customWidth="1"/>
    <col min="13" max="17" width="12" style="1" customWidth="1"/>
    <col min="18" max="18" width="12" customWidth="1"/>
  </cols>
  <sheetData>
    <row r="1" spans="1:17" s="2" customFormat="1" ht="116">
      <c r="A1" s="2" t="s">
        <v>0</v>
      </c>
      <c r="B1" s="2" t="s">
        <v>86</v>
      </c>
      <c r="C1" s="2" t="s">
        <v>27</v>
      </c>
      <c r="D1" s="2" t="s">
        <v>1</v>
      </c>
      <c r="E1" s="2" t="s">
        <v>2</v>
      </c>
      <c r="F1" s="7" t="s">
        <v>80</v>
      </c>
      <c r="G1" s="2" t="s">
        <v>28</v>
      </c>
      <c r="H1" s="3" t="s">
        <v>85</v>
      </c>
      <c r="I1" s="3" t="s">
        <v>6</v>
      </c>
      <c r="J1" s="3" t="s">
        <v>5</v>
      </c>
      <c r="K1" s="2" t="s">
        <v>3</v>
      </c>
      <c r="L1" s="8" t="s">
        <v>7</v>
      </c>
      <c r="M1" s="3" t="s">
        <v>4</v>
      </c>
      <c r="N1" s="3" t="s">
        <v>81</v>
      </c>
      <c r="O1" s="3" t="s">
        <v>82</v>
      </c>
      <c r="P1" s="3" t="s">
        <v>83</v>
      </c>
      <c r="Q1" s="3" t="s">
        <v>84</v>
      </c>
    </row>
    <row r="2" spans="1:17">
      <c r="A2" s="6">
        <v>44197</v>
      </c>
      <c r="B2" s="6" t="str">
        <f>VLOOKUP(C2,[1]Город!C:E,3,0)</f>
        <v>Санкт-Петербург</v>
      </c>
      <c r="C2" t="s">
        <v>29</v>
      </c>
      <c r="D2" t="s">
        <v>8</v>
      </c>
      <c r="E2">
        <v>2591025</v>
      </c>
      <c r="F2" s="4" t="s">
        <v>61</v>
      </c>
      <c r="G2" t="s">
        <v>25</v>
      </c>
      <c r="H2" s="1">
        <v>153.313597767</v>
      </c>
      <c r="I2" s="1">
        <v>30</v>
      </c>
      <c r="J2" s="1">
        <v>13</v>
      </c>
      <c r="K2">
        <v>138</v>
      </c>
      <c r="L2" s="9">
        <v>137</v>
      </c>
      <c r="M2" s="1">
        <v>117</v>
      </c>
      <c r="N2" s="1">
        <v>100.90000000000005</v>
      </c>
      <c r="O2" s="1">
        <v>86.86666666666666</v>
      </c>
      <c r="P2" s="1">
        <v>4.7369791666666661</v>
      </c>
      <c r="Q2" s="1">
        <v>4.9005376344086029</v>
      </c>
    </row>
    <row r="3" spans="1:17">
      <c r="A3" s="6">
        <v>44197</v>
      </c>
      <c r="B3" s="6" t="str">
        <f>VLOOKUP(C3,[1]Город!C:E,3,0)</f>
        <v>Самара</v>
      </c>
      <c r="C3" t="s">
        <v>30</v>
      </c>
      <c r="D3" t="s">
        <v>8</v>
      </c>
      <c r="E3">
        <v>2591910</v>
      </c>
      <c r="F3" s="4" t="s">
        <v>62</v>
      </c>
      <c r="G3" t="s">
        <v>26</v>
      </c>
      <c r="H3" s="1">
        <v>221.84096824299996</v>
      </c>
      <c r="I3" s="1">
        <v>19</v>
      </c>
      <c r="J3" s="1">
        <v>7</v>
      </c>
      <c r="K3">
        <v>143</v>
      </c>
      <c r="L3" s="9">
        <v>141</v>
      </c>
      <c r="M3" s="1">
        <v>119</v>
      </c>
      <c r="N3" s="1">
        <v>118.75</v>
      </c>
      <c r="O3" s="1">
        <v>42.75</v>
      </c>
      <c r="P3" s="1">
        <v>8.7991228070175449</v>
      </c>
      <c r="Q3" s="1">
        <v>17.395370370370372</v>
      </c>
    </row>
    <row r="4" spans="1:17">
      <c r="A4" s="6">
        <v>44197</v>
      </c>
      <c r="B4" s="6" t="str">
        <f>VLOOKUP(C4,[1]Город!C:E,3,0)</f>
        <v>Екатеринбург</v>
      </c>
      <c r="C4" t="s">
        <v>31</v>
      </c>
      <c r="D4" t="s">
        <v>9</v>
      </c>
      <c r="E4">
        <v>2590736</v>
      </c>
      <c r="F4" s="4" t="s">
        <v>63</v>
      </c>
      <c r="G4" t="s">
        <v>26</v>
      </c>
      <c r="H4" s="1">
        <v>84.452701344599973</v>
      </c>
      <c r="I4" s="1">
        <v>19</v>
      </c>
      <c r="J4" s="1">
        <v>4</v>
      </c>
      <c r="K4">
        <v>115</v>
      </c>
      <c r="L4" s="9">
        <v>114</v>
      </c>
      <c r="M4" s="1">
        <v>72</v>
      </c>
      <c r="N4" s="1">
        <v>77.033333333333317</v>
      </c>
      <c r="O4" s="1">
        <v>485.33333333333337</v>
      </c>
      <c r="P4" s="1">
        <v>2.0992753623188407</v>
      </c>
      <c r="Q4" s="1">
        <v>9.5704545454545453</v>
      </c>
    </row>
    <row r="5" spans="1:17">
      <c r="A5" s="6">
        <v>44197</v>
      </c>
      <c r="B5" s="6" t="str">
        <f>VLOOKUP(C5,[1]Город!C:E,3,0)</f>
        <v>Уфа</v>
      </c>
      <c r="C5" t="s">
        <v>32</v>
      </c>
      <c r="D5" t="s">
        <v>9</v>
      </c>
      <c r="E5">
        <v>2590864</v>
      </c>
      <c r="F5" s="4" t="s">
        <v>62</v>
      </c>
      <c r="G5" t="s">
        <v>25</v>
      </c>
      <c r="H5" s="1">
        <v>100.96030772300003</v>
      </c>
      <c r="I5" s="1">
        <v>20</v>
      </c>
      <c r="J5" s="1">
        <v>7</v>
      </c>
      <c r="K5">
        <v>142</v>
      </c>
      <c r="L5" s="9">
        <v>141</v>
      </c>
      <c r="M5" s="1">
        <v>124</v>
      </c>
      <c r="N5" s="1">
        <v>156.43333333333337</v>
      </c>
      <c r="O5" s="1">
        <v>109</v>
      </c>
      <c r="P5" s="1">
        <v>3.9649999999999999</v>
      </c>
      <c r="Q5" s="1">
        <v>13.260526315789471</v>
      </c>
    </row>
    <row r="6" spans="1:17">
      <c r="A6" s="6">
        <v>44197</v>
      </c>
      <c r="B6" s="6" t="str">
        <f>VLOOKUP(C6,[1]Город!C:E,3,0)</f>
        <v>Самара</v>
      </c>
      <c r="C6" t="s">
        <v>30</v>
      </c>
      <c r="D6" t="s">
        <v>8</v>
      </c>
      <c r="E6">
        <v>2591867</v>
      </c>
      <c r="F6" s="4" t="s">
        <v>62</v>
      </c>
      <c r="G6" t="s">
        <v>25</v>
      </c>
      <c r="H6" s="1">
        <v>73.391195841699997</v>
      </c>
      <c r="I6" s="1">
        <v>25</v>
      </c>
      <c r="J6" s="1">
        <v>6</v>
      </c>
      <c r="K6">
        <v>165</v>
      </c>
      <c r="L6" s="9">
        <v>165</v>
      </c>
      <c r="M6" s="1">
        <v>141</v>
      </c>
      <c r="N6" s="1">
        <v>143.66666666666663</v>
      </c>
      <c r="O6" s="1">
        <v>34.46666666666669</v>
      </c>
      <c r="P6" s="1">
        <v>3.0466666666666664</v>
      </c>
      <c r="Q6" s="1">
        <v>12.02986111111111</v>
      </c>
    </row>
    <row r="7" spans="1:17">
      <c r="A7" s="6">
        <v>44197</v>
      </c>
      <c r="B7" s="6" t="str">
        <f>VLOOKUP(C7,[1]Город!C:E,3,0)</f>
        <v>Нижний Новгород</v>
      </c>
      <c r="C7" t="s">
        <v>33</v>
      </c>
      <c r="D7" t="s">
        <v>8</v>
      </c>
      <c r="E7">
        <v>2591294</v>
      </c>
      <c r="F7" s="4" t="s">
        <v>62</v>
      </c>
      <c r="G7" t="s">
        <v>26</v>
      </c>
      <c r="H7" s="1">
        <v>290.63739102100004</v>
      </c>
      <c r="I7" s="1">
        <v>28</v>
      </c>
      <c r="J7" s="1">
        <v>13</v>
      </c>
      <c r="K7">
        <v>81</v>
      </c>
      <c r="L7" s="9">
        <v>78</v>
      </c>
      <c r="M7" s="1">
        <v>61</v>
      </c>
      <c r="N7" s="1">
        <v>108.25</v>
      </c>
      <c r="O7" s="1">
        <v>91.016666666666708</v>
      </c>
      <c r="P7" s="1">
        <v>7.2061111111111122</v>
      </c>
      <c r="Q7" s="1">
        <v>9.891379310344826</v>
      </c>
    </row>
    <row r="8" spans="1:17">
      <c r="A8" s="6">
        <v>44197</v>
      </c>
      <c r="B8" s="6" t="str">
        <f>VLOOKUP(C8,[1]Город!C:E,3,0)</f>
        <v>Москва</v>
      </c>
      <c r="C8" t="s">
        <v>34</v>
      </c>
      <c r="D8" t="s">
        <v>10</v>
      </c>
      <c r="E8">
        <v>2592218</v>
      </c>
      <c r="F8" s="4" t="s">
        <v>61</v>
      </c>
      <c r="G8" t="s">
        <v>25</v>
      </c>
      <c r="H8" s="1">
        <v>88.475913827100001</v>
      </c>
      <c r="I8" s="1">
        <v>19</v>
      </c>
      <c r="J8" s="1">
        <v>4</v>
      </c>
      <c r="K8">
        <v>206</v>
      </c>
      <c r="L8" s="9">
        <v>203</v>
      </c>
      <c r="M8" s="1">
        <v>156</v>
      </c>
      <c r="N8" s="1">
        <v>160.93333333333337</v>
      </c>
      <c r="O8" s="1">
        <v>66.983333333333334</v>
      </c>
      <c r="P8" s="1">
        <v>9.2217391304347807</v>
      </c>
      <c r="Q8" s="1">
        <v>15.457575757575755</v>
      </c>
    </row>
    <row r="9" spans="1:17">
      <c r="A9" s="6">
        <v>44197</v>
      </c>
      <c r="B9" s="6" t="str">
        <f>VLOOKUP(C9,[1]Город!C:E,3,0)</f>
        <v>Омск</v>
      </c>
      <c r="C9" t="s">
        <v>35</v>
      </c>
      <c r="D9" t="s">
        <v>11</v>
      </c>
      <c r="E9">
        <v>2592395</v>
      </c>
      <c r="F9" s="4" t="s">
        <v>64</v>
      </c>
      <c r="G9" t="s">
        <v>26</v>
      </c>
      <c r="H9" s="1">
        <v>64.348070278500003</v>
      </c>
      <c r="I9" s="1">
        <v>15</v>
      </c>
      <c r="J9" s="1">
        <v>5</v>
      </c>
      <c r="K9">
        <v>61</v>
      </c>
      <c r="L9" s="9">
        <v>60</v>
      </c>
      <c r="M9" s="1">
        <v>47</v>
      </c>
      <c r="N9" s="1">
        <v>54.983333333333341</v>
      </c>
      <c r="O9" s="1">
        <v>28.733333333333345</v>
      </c>
      <c r="P9" s="1">
        <v>4.4122222222222236</v>
      </c>
      <c r="Q9" s="1">
        <v>3.0428571428571423</v>
      </c>
    </row>
    <row r="10" spans="1:17">
      <c r="A10" s="6">
        <v>44197</v>
      </c>
      <c r="B10" s="6" t="str">
        <f>VLOOKUP(C10,[1]Город!C:E,3,0)</f>
        <v>Казань</v>
      </c>
      <c r="C10" t="s">
        <v>36</v>
      </c>
      <c r="D10" t="s">
        <v>12</v>
      </c>
      <c r="E10">
        <v>2591122</v>
      </c>
      <c r="F10" s="4" t="s">
        <v>65</v>
      </c>
      <c r="G10" t="s">
        <v>25</v>
      </c>
      <c r="H10" s="1">
        <v>143.21552491700004</v>
      </c>
      <c r="I10" s="1">
        <v>29</v>
      </c>
      <c r="J10" s="1">
        <v>7</v>
      </c>
      <c r="K10">
        <v>123</v>
      </c>
      <c r="L10" s="9">
        <v>122</v>
      </c>
      <c r="M10" s="1">
        <v>94</v>
      </c>
      <c r="N10" s="1">
        <v>111.81666666666662</v>
      </c>
      <c r="O10" s="1">
        <v>79.833333333333329</v>
      </c>
      <c r="P10" s="1">
        <v>2.1791666666666663</v>
      </c>
      <c r="Q10" s="1">
        <v>7.3086419753086416</v>
      </c>
    </row>
    <row r="11" spans="1:17">
      <c r="A11" s="6">
        <v>44197</v>
      </c>
      <c r="B11" s="6" t="str">
        <f>VLOOKUP(C11,[1]Город!C:E,3,0)</f>
        <v>Санкт-Петербург</v>
      </c>
      <c r="C11" t="s">
        <v>29</v>
      </c>
      <c r="D11" t="s">
        <v>10</v>
      </c>
      <c r="E11">
        <v>2591406</v>
      </c>
      <c r="F11" s="4" t="s">
        <v>62</v>
      </c>
      <c r="G11" t="s">
        <v>25</v>
      </c>
      <c r="H11" s="1">
        <v>105.41146035000001</v>
      </c>
      <c r="I11" s="1">
        <v>41</v>
      </c>
      <c r="J11" s="1">
        <v>3</v>
      </c>
      <c r="K11">
        <v>133</v>
      </c>
      <c r="L11" s="9">
        <v>125</v>
      </c>
      <c r="M11" s="1">
        <v>75</v>
      </c>
      <c r="N11" s="1">
        <v>119.03333333333346</v>
      </c>
      <c r="O11" s="1">
        <v>55.71666666666669</v>
      </c>
      <c r="P11" s="1">
        <v>3.1130718954248366</v>
      </c>
      <c r="Q11" s="1">
        <v>7.751999999999998</v>
      </c>
    </row>
    <row r="12" spans="1:17">
      <c r="A12" s="6">
        <v>44197</v>
      </c>
      <c r="B12" s="6" t="str">
        <f>VLOOKUP(C12,[1]Город!C:E,3,0)</f>
        <v>Челябинск</v>
      </c>
      <c r="C12" t="s">
        <v>37</v>
      </c>
      <c r="D12" t="s">
        <v>12</v>
      </c>
      <c r="E12">
        <v>2590357</v>
      </c>
      <c r="F12" s="4" t="s">
        <v>66</v>
      </c>
      <c r="G12" t="s">
        <v>25</v>
      </c>
      <c r="H12" s="1">
        <v>80.499175843199978</v>
      </c>
      <c r="I12" s="1">
        <v>18</v>
      </c>
      <c r="J12" s="1">
        <v>0</v>
      </c>
      <c r="K12">
        <v>18</v>
      </c>
      <c r="L12" s="9">
        <v>16</v>
      </c>
      <c r="M12" s="1">
        <v>0</v>
      </c>
      <c r="N12" s="1">
        <v>72.033333333333317</v>
      </c>
      <c r="O12" s="1">
        <v>46.083333333333336</v>
      </c>
      <c r="P12" s="1">
        <v>6.721111111111111</v>
      </c>
      <c r="Q12" s="1">
        <v>19.99404761904762</v>
      </c>
    </row>
    <row r="13" spans="1:17">
      <c r="A13" s="6">
        <v>44197</v>
      </c>
      <c r="B13" s="6" t="str">
        <f>VLOOKUP(C13,[1]Город!C:E,3,0)</f>
        <v>Московская область</v>
      </c>
      <c r="C13" t="s">
        <v>38</v>
      </c>
      <c r="D13" t="s">
        <v>8</v>
      </c>
      <c r="E13">
        <v>2591540</v>
      </c>
      <c r="F13" s="4" t="s">
        <v>66</v>
      </c>
      <c r="G13" t="s">
        <v>25</v>
      </c>
      <c r="H13" s="1">
        <v>152.53528808300001</v>
      </c>
      <c r="I13" s="1">
        <v>19</v>
      </c>
      <c r="J13" s="1">
        <v>0</v>
      </c>
      <c r="K13">
        <v>21</v>
      </c>
      <c r="L13" s="9">
        <v>21</v>
      </c>
      <c r="M13" s="1">
        <v>0</v>
      </c>
      <c r="N13" s="1">
        <v>84.700000000000017</v>
      </c>
      <c r="O13" s="1">
        <v>7.6833333333333353</v>
      </c>
      <c r="P13" s="1">
        <v>11.794444444444444</v>
      </c>
      <c r="Q13" s="1">
        <v>8.3254901960784338</v>
      </c>
    </row>
    <row r="14" spans="1:17">
      <c r="A14" s="6">
        <v>44197</v>
      </c>
      <c r="B14" s="6" t="str">
        <f>VLOOKUP(C14,[1]Город!C:E,3,0)</f>
        <v>Москва</v>
      </c>
      <c r="C14" t="s">
        <v>39</v>
      </c>
      <c r="D14" t="s">
        <v>13</v>
      </c>
      <c r="E14">
        <v>2592895</v>
      </c>
      <c r="F14" s="4" t="s">
        <v>67</v>
      </c>
      <c r="G14" t="s">
        <v>26</v>
      </c>
      <c r="H14" s="1">
        <v>252.90985758399998</v>
      </c>
      <c r="I14" s="1">
        <v>22</v>
      </c>
      <c r="J14" s="1">
        <v>3</v>
      </c>
      <c r="K14">
        <v>36</v>
      </c>
      <c r="L14" s="9">
        <v>34</v>
      </c>
      <c r="M14" s="1">
        <v>9</v>
      </c>
      <c r="N14" s="1">
        <v>26.883333333333329</v>
      </c>
      <c r="O14" s="1">
        <v>110</v>
      </c>
      <c r="P14" s="1">
        <v>5.251515151515151</v>
      </c>
      <c r="Q14" s="1">
        <v>6.1222222222222218</v>
      </c>
    </row>
    <row r="15" spans="1:17">
      <c r="A15" s="6">
        <v>44197</v>
      </c>
      <c r="B15" s="6" t="str">
        <f>VLOOKUP(C15,[1]Город!C:E,3,0)</f>
        <v>Санкт-Петербург</v>
      </c>
      <c r="C15" t="s">
        <v>29</v>
      </c>
      <c r="D15" t="s">
        <v>10</v>
      </c>
      <c r="E15">
        <v>2591611</v>
      </c>
      <c r="F15" s="4" t="s">
        <v>68</v>
      </c>
      <c r="G15" t="s">
        <v>25</v>
      </c>
      <c r="H15" s="1">
        <v>63.491775882400006</v>
      </c>
      <c r="I15" s="1">
        <v>11</v>
      </c>
      <c r="J15" s="1">
        <v>11</v>
      </c>
      <c r="K15">
        <v>155</v>
      </c>
      <c r="L15" s="9">
        <v>154</v>
      </c>
      <c r="M15" s="1">
        <v>154</v>
      </c>
      <c r="N15" s="1">
        <v>150.18333333333337</v>
      </c>
      <c r="O15" s="1">
        <v>29.216666666666661</v>
      </c>
      <c r="P15" s="1">
        <v>10.983333333333333</v>
      </c>
      <c r="Q15" s="1">
        <v>8.35</v>
      </c>
    </row>
    <row r="16" spans="1:17">
      <c r="A16" s="6">
        <v>44197</v>
      </c>
      <c r="B16" s="6" t="str">
        <f>VLOOKUP(C16,[1]Город!C:E,3,0)</f>
        <v>Ульяновск</v>
      </c>
      <c r="C16" t="s">
        <v>40</v>
      </c>
      <c r="D16" t="s">
        <v>14</v>
      </c>
      <c r="E16">
        <v>2593167</v>
      </c>
      <c r="F16" s="4" t="s">
        <v>62</v>
      </c>
      <c r="G16" t="s">
        <v>26</v>
      </c>
      <c r="H16" s="1">
        <v>61.203042650099995</v>
      </c>
      <c r="I16" s="1">
        <v>18</v>
      </c>
      <c r="J16" s="1">
        <v>7</v>
      </c>
      <c r="K16">
        <v>70</v>
      </c>
      <c r="L16" s="9">
        <v>70</v>
      </c>
      <c r="M16" s="1">
        <v>55</v>
      </c>
      <c r="N16" s="1">
        <v>69.016666666666666</v>
      </c>
      <c r="O16" s="1">
        <v>28.766666666666655</v>
      </c>
      <c r="P16" s="1">
        <v>3.7607843137254902</v>
      </c>
      <c r="Q16" s="1">
        <v>12.651041666666666</v>
      </c>
    </row>
    <row r="17" spans="1:17">
      <c r="A17" s="6">
        <v>44197</v>
      </c>
      <c r="B17" s="6" t="str">
        <f>VLOOKUP(C17,[1]Город!C:E,3,0)</f>
        <v>Москва</v>
      </c>
      <c r="C17" t="s">
        <v>39</v>
      </c>
      <c r="D17" t="s">
        <v>13</v>
      </c>
      <c r="E17">
        <v>2592573</v>
      </c>
      <c r="F17" s="4" t="s">
        <v>62</v>
      </c>
      <c r="G17" t="s">
        <v>25</v>
      </c>
      <c r="H17" s="1">
        <v>108.503060605</v>
      </c>
      <c r="I17" s="1">
        <v>14</v>
      </c>
      <c r="J17" s="1">
        <v>0</v>
      </c>
      <c r="K17">
        <v>16</v>
      </c>
      <c r="L17" s="9">
        <v>16</v>
      </c>
      <c r="M17" s="1">
        <v>0</v>
      </c>
      <c r="N17" s="1">
        <v>45.283333333333317</v>
      </c>
      <c r="O17" s="1">
        <v>65.86666666666666</v>
      </c>
      <c r="P17" s="1">
        <v>3.4511904761904764</v>
      </c>
      <c r="Q17" s="1">
        <v>10.73205128205128</v>
      </c>
    </row>
    <row r="18" spans="1:17">
      <c r="A18" s="6">
        <v>44197</v>
      </c>
      <c r="B18" s="6" t="str">
        <f>VLOOKUP(C18,[1]Город!C:E,3,0)</f>
        <v>Пермь</v>
      </c>
      <c r="C18" t="s">
        <v>41</v>
      </c>
      <c r="D18" t="s">
        <v>11</v>
      </c>
      <c r="E18">
        <v>2592826</v>
      </c>
      <c r="F18" s="4" t="s">
        <v>62</v>
      </c>
      <c r="G18" t="s">
        <v>25</v>
      </c>
      <c r="H18" s="1">
        <v>318.080804016</v>
      </c>
      <c r="I18" s="1">
        <v>34</v>
      </c>
      <c r="J18" s="1">
        <v>14</v>
      </c>
      <c r="K18">
        <v>229</v>
      </c>
      <c r="L18" s="9">
        <v>236</v>
      </c>
      <c r="M18" s="1">
        <v>209</v>
      </c>
      <c r="N18" s="1">
        <v>150.11666666666676</v>
      </c>
      <c r="O18" s="1">
        <v>154.21666666666661</v>
      </c>
      <c r="P18" s="1">
        <v>7.57258064516129</v>
      </c>
      <c r="Q18" s="1">
        <v>4.3222222222222229</v>
      </c>
    </row>
    <row r="19" spans="1:17">
      <c r="A19" s="6">
        <v>44197</v>
      </c>
      <c r="B19" s="6" t="str">
        <f>VLOOKUP(C19,[1]Город!C:E,3,0)</f>
        <v>Новосибирск</v>
      </c>
      <c r="C19" t="s">
        <v>42</v>
      </c>
      <c r="D19" t="s">
        <v>9</v>
      </c>
      <c r="E19">
        <v>2592109</v>
      </c>
      <c r="F19" s="4" t="s">
        <v>68</v>
      </c>
      <c r="G19" t="s">
        <v>25</v>
      </c>
      <c r="H19" s="1">
        <v>74.382626116800026</v>
      </c>
      <c r="I19" s="1">
        <v>29</v>
      </c>
      <c r="J19" s="1">
        <v>6</v>
      </c>
      <c r="K19">
        <v>148</v>
      </c>
      <c r="L19" s="9">
        <v>145</v>
      </c>
      <c r="M19" s="1">
        <v>110</v>
      </c>
      <c r="N19" s="1">
        <v>127.3833333333333</v>
      </c>
      <c r="O19" s="1">
        <v>30.133333333333329</v>
      </c>
      <c r="P19" s="1">
        <v>5.6139784946236562</v>
      </c>
      <c r="Q19" s="1">
        <v>2.4705555555555558</v>
      </c>
    </row>
    <row r="20" spans="1:17">
      <c r="A20" s="6">
        <v>44197</v>
      </c>
      <c r="B20" s="6" t="str">
        <f>VLOOKUP(C20,[1]Город!C:E,3,0)</f>
        <v>Москва</v>
      </c>
      <c r="C20" t="s">
        <v>39</v>
      </c>
      <c r="D20" t="s">
        <v>11</v>
      </c>
      <c r="E20">
        <v>2590833</v>
      </c>
      <c r="F20" s="4" t="s">
        <v>62</v>
      </c>
      <c r="G20" t="s">
        <v>26</v>
      </c>
      <c r="H20" s="1">
        <v>72.141966573099992</v>
      </c>
      <c r="I20" s="1">
        <v>21</v>
      </c>
      <c r="J20" s="1">
        <v>7</v>
      </c>
      <c r="K20">
        <v>157</v>
      </c>
      <c r="L20" s="9">
        <v>155</v>
      </c>
      <c r="M20" s="1">
        <v>136</v>
      </c>
      <c r="N20" s="1">
        <v>104.65000000000005</v>
      </c>
      <c r="O20" s="1">
        <v>32.333333333333336</v>
      </c>
      <c r="P20" s="1">
        <v>8.5817460317460306</v>
      </c>
      <c r="Q20" s="1">
        <v>8.5783333333333331</v>
      </c>
    </row>
    <row r="21" spans="1:17">
      <c r="A21" s="6">
        <v>44197</v>
      </c>
      <c r="B21" s="6" t="str">
        <f>VLOOKUP(C21,[1]Город!C:E,3,0)</f>
        <v>Екатеринбург</v>
      </c>
      <c r="C21" t="s">
        <v>31</v>
      </c>
      <c r="D21" t="s">
        <v>9</v>
      </c>
      <c r="E21">
        <v>2590771</v>
      </c>
      <c r="F21" s="4" t="s">
        <v>63</v>
      </c>
      <c r="G21" t="s">
        <v>25</v>
      </c>
      <c r="H21" s="1">
        <v>105.536994953</v>
      </c>
      <c r="I21" s="1">
        <v>37</v>
      </c>
      <c r="J21" s="1">
        <v>12</v>
      </c>
      <c r="K21">
        <v>218</v>
      </c>
      <c r="L21" s="9">
        <v>214</v>
      </c>
      <c r="M21" s="1">
        <v>187</v>
      </c>
      <c r="N21" s="1">
        <v>167.36666666666676</v>
      </c>
      <c r="O21" s="1">
        <v>61.183333333333358</v>
      </c>
      <c r="P21" s="1">
        <v>4.7533333333333339</v>
      </c>
      <c r="Q21" s="1">
        <v>2.5611111111111104</v>
      </c>
    </row>
    <row r="22" spans="1:17">
      <c r="A22" s="6">
        <v>44197</v>
      </c>
      <c r="B22" s="6" t="str">
        <f>VLOOKUP(C22,[1]Город!C:E,3,0)</f>
        <v>Барнаул</v>
      </c>
      <c r="C22" t="s">
        <v>43</v>
      </c>
      <c r="D22" t="s">
        <v>11</v>
      </c>
      <c r="E22">
        <v>2592834</v>
      </c>
      <c r="F22" s="4" t="s">
        <v>64</v>
      </c>
      <c r="G22" t="s">
        <v>26</v>
      </c>
      <c r="H22" s="1">
        <v>35.411862500499993</v>
      </c>
      <c r="I22" s="1">
        <v>16</v>
      </c>
      <c r="J22" s="1">
        <v>5</v>
      </c>
      <c r="K22">
        <v>122</v>
      </c>
      <c r="L22" s="9">
        <v>120</v>
      </c>
      <c r="M22" s="1">
        <v>105</v>
      </c>
      <c r="N22" s="1">
        <v>79.183333333333366</v>
      </c>
      <c r="O22" s="1">
        <v>34.966666666666683</v>
      </c>
      <c r="P22" s="1">
        <v>5.5124999999999993</v>
      </c>
      <c r="Q22" s="1">
        <v>4.4245614035087719</v>
      </c>
    </row>
    <row r="23" spans="1:17">
      <c r="A23" s="6">
        <v>44197</v>
      </c>
      <c r="B23" s="6" t="str">
        <f>VLOOKUP(C23,[1]Город!C:E,3,0)</f>
        <v>Новосибирск</v>
      </c>
      <c r="C23" t="s">
        <v>42</v>
      </c>
      <c r="D23" t="s">
        <v>12</v>
      </c>
      <c r="E23">
        <v>2590436</v>
      </c>
      <c r="F23" s="4" t="s">
        <v>69</v>
      </c>
      <c r="G23" t="s">
        <v>25</v>
      </c>
      <c r="H23" s="1">
        <v>43.925697940500001</v>
      </c>
      <c r="I23" s="1">
        <v>4</v>
      </c>
      <c r="J23" s="1">
        <v>4</v>
      </c>
      <c r="K23">
        <v>219</v>
      </c>
      <c r="L23" s="9">
        <v>219</v>
      </c>
      <c r="M23" s="1">
        <v>219</v>
      </c>
      <c r="N23" s="1">
        <v>121.68333333333334</v>
      </c>
      <c r="O23" s="1">
        <v>43.083333333333336</v>
      </c>
      <c r="P23" s="1">
        <v>24.375</v>
      </c>
      <c r="Q23" s="1">
        <v>26.366666666666664</v>
      </c>
    </row>
    <row r="24" spans="1:17">
      <c r="A24" s="6">
        <v>44197</v>
      </c>
      <c r="B24" s="6" t="str">
        <f>VLOOKUP(C24,[1]Город!C:E,3,0)</f>
        <v>Челябинск</v>
      </c>
      <c r="C24" t="s">
        <v>37</v>
      </c>
      <c r="D24" t="s">
        <v>13</v>
      </c>
      <c r="E24">
        <v>2590328</v>
      </c>
      <c r="F24" s="4" t="s">
        <v>70</v>
      </c>
      <c r="G24" t="s">
        <v>26</v>
      </c>
      <c r="H24" s="1">
        <v>233.61267128100002</v>
      </c>
      <c r="I24" s="1">
        <v>22</v>
      </c>
      <c r="J24" s="1">
        <v>11</v>
      </c>
      <c r="K24">
        <v>138</v>
      </c>
      <c r="L24" s="9">
        <v>137</v>
      </c>
      <c r="M24" s="1">
        <v>118</v>
      </c>
      <c r="N24" s="1">
        <v>141.75</v>
      </c>
      <c r="O24" s="1">
        <v>29.899999999999988</v>
      </c>
      <c r="P24" s="1">
        <v>3.2944444444444438</v>
      </c>
      <c r="Q24" s="1">
        <v>25.270833333333336</v>
      </c>
    </row>
    <row r="25" spans="1:17">
      <c r="A25" s="6">
        <v>44197</v>
      </c>
      <c r="B25" s="6" t="str">
        <f>VLOOKUP(C25,[1]Город!C:E,3,0)</f>
        <v>Новосибирск</v>
      </c>
      <c r="C25" t="s">
        <v>42</v>
      </c>
      <c r="D25" t="s">
        <v>8</v>
      </c>
      <c r="E25">
        <v>2592094</v>
      </c>
      <c r="F25" s="4" t="s">
        <v>70</v>
      </c>
      <c r="G25" t="s">
        <v>25</v>
      </c>
      <c r="H25" s="1">
        <v>183.54858862200004</v>
      </c>
      <c r="I25" s="1">
        <v>28</v>
      </c>
      <c r="J25" s="1">
        <v>8</v>
      </c>
      <c r="K25">
        <v>120</v>
      </c>
      <c r="L25" s="9">
        <v>120</v>
      </c>
      <c r="M25" s="1">
        <v>93</v>
      </c>
      <c r="N25" s="1">
        <v>106.75</v>
      </c>
      <c r="O25" s="1">
        <v>46.35</v>
      </c>
      <c r="P25" s="1">
        <v>2.9773809523809525</v>
      </c>
      <c r="Q25" s="1">
        <v>8.5345679012345688</v>
      </c>
    </row>
    <row r="26" spans="1:17">
      <c r="A26" s="6">
        <v>44197</v>
      </c>
      <c r="B26" s="6" t="str">
        <f>VLOOKUP(C26,[1]Город!C:E,3,0)</f>
        <v>Барнаул</v>
      </c>
      <c r="C26" t="s">
        <v>43</v>
      </c>
      <c r="D26" t="s">
        <v>9</v>
      </c>
      <c r="E26">
        <v>2592837</v>
      </c>
      <c r="F26" s="4" t="s">
        <v>64</v>
      </c>
      <c r="G26" t="s">
        <v>25</v>
      </c>
      <c r="H26" s="1">
        <v>73.088669371000009</v>
      </c>
      <c r="I26" s="1">
        <v>22</v>
      </c>
      <c r="J26" s="1">
        <v>0</v>
      </c>
      <c r="K26">
        <v>25</v>
      </c>
      <c r="L26" s="9">
        <v>25</v>
      </c>
      <c r="M26" s="1">
        <v>0</v>
      </c>
      <c r="N26" s="1">
        <v>76.716666666666683</v>
      </c>
      <c r="O26" s="1">
        <v>2.9666666666666681</v>
      </c>
      <c r="P26" s="1">
        <v>5.2189393939393938</v>
      </c>
      <c r="Q26" s="1">
        <v>14.726984126984126</v>
      </c>
    </row>
    <row r="27" spans="1:17">
      <c r="A27" s="6">
        <v>44197</v>
      </c>
      <c r="B27" s="6" t="str">
        <f>VLOOKUP(C27,[1]Город!C:E,3,0)</f>
        <v>Новосибирск</v>
      </c>
      <c r="C27" t="s">
        <v>42</v>
      </c>
      <c r="D27" t="s">
        <v>13</v>
      </c>
      <c r="E27">
        <v>2593767</v>
      </c>
      <c r="F27" s="4" t="s">
        <v>71</v>
      </c>
      <c r="G27" t="s">
        <v>25</v>
      </c>
      <c r="H27" s="1">
        <v>153.13848930200001</v>
      </c>
      <c r="I27" s="1">
        <v>9</v>
      </c>
      <c r="J27" s="1">
        <v>3</v>
      </c>
      <c r="K27">
        <v>9</v>
      </c>
      <c r="L27" s="9">
        <v>9</v>
      </c>
      <c r="M27" s="1">
        <v>3</v>
      </c>
      <c r="N27" s="1">
        <v>55.899999999999991</v>
      </c>
      <c r="P27" s="1">
        <v>13.441666666666666</v>
      </c>
      <c r="Q27" s="1">
        <v>23.364583333333332</v>
      </c>
    </row>
    <row r="28" spans="1:17">
      <c r="A28" s="6">
        <v>44197</v>
      </c>
      <c r="B28" s="6" t="str">
        <f>VLOOKUP(C28,[1]Город!C:E,3,0)</f>
        <v>Москва</v>
      </c>
      <c r="C28" t="s">
        <v>39</v>
      </c>
      <c r="D28" t="s">
        <v>13</v>
      </c>
      <c r="E28">
        <v>2590485</v>
      </c>
      <c r="F28" s="4" t="s">
        <v>62</v>
      </c>
      <c r="G28" t="s">
        <v>26</v>
      </c>
      <c r="H28" s="1">
        <v>28.247852939900007</v>
      </c>
      <c r="I28" s="1">
        <v>16</v>
      </c>
      <c r="J28" s="1">
        <v>1</v>
      </c>
      <c r="K28">
        <v>93</v>
      </c>
      <c r="L28" s="9">
        <v>93</v>
      </c>
      <c r="M28" s="1">
        <v>65</v>
      </c>
      <c r="N28" s="1">
        <v>74.233333333333334</v>
      </c>
      <c r="O28" s="1">
        <v>28.399999999999991</v>
      </c>
      <c r="P28" s="1">
        <v>17.235416666666669</v>
      </c>
      <c r="Q28" s="1">
        <v>7.8744444444444452</v>
      </c>
    </row>
    <row r="29" spans="1:17">
      <c r="A29" s="6">
        <v>44197</v>
      </c>
      <c r="B29" s="6" t="str">
        <f>VLOOKUP(C29,[1]Город!C:E,3,0)</f>
        <v>Красноярск</v>
      </c>
      <c r="C29" t="s">
        <v>44</v>
      </c>
      <c r="D29" t="s">
        <v>9</v>
      </c>
      <c r="E29">
        <v>2592697</v>
      </c>
      <c r="F29" s="4" t="s">
        <v>62</v>
      </c>
      <c r="G29" t="s">
        <v>25</v>
      </c>
      <c r="H29" s="1">
        <v>69.997422269799998</v>
      </c>
      <c r="I29" s="1">
        <v>22</v>
      </c>
      <c r="J29" s="1">
        <v>6</v>
      </c>
      <c r="K29">
        <v>183</v>
      </c>
      <c r="L29" s="9">
        <v>176</v>
      </c>
      <c r="M29" s="1">
        <v>159</v>
      </c>
      <c r="N29" s="1">
        <v>187.5833333333334</v>
      </c>
      <c r="O29" s="1">
        <v>31.983333333333341</v>
      </c>
      <c r="P29" s="1">
        <v>4.6603174603174597</v>
      </c>
      <c r="Q29" s="1">
        <v>18.563333333333333</v>
      </c>
    </row>
    <row r="30" spans="1:17">
      <c r="A30" s="6">
        <v>44197</v>
      </c>
      <c r="B30" s="6" t="str">
        <f>VLOOKUP(C30,[1]Город!C:E,3,0)</f>
        <v>Москва</v>
      </c>
      <c r="C30" t="s">
        <v>39</v>
      </c>
      <c r="D30" t="s">
        <v>13</v>
      </c>
      <c r="E30">
        <v>2590524</v>
      </c>
      <c r="F30" s="4" t="s">
        <v>62</v>
      </c>
      <c r="G30" t="s">
        <v>26</v>
      </c>
      <c r="H30" s="1">
        <v>189.63324561600007</v>
      </c>
      <c r="I30" s="1">
        <v>25</v>
      </c>
      <c r="J30" s="1">
        <v>7</v>
      </c>
      <c r="K30">
        <v>84</v>
      </c>
      <c r="L30" s="9">
        <v>82</v>
      </c>
      <c r="M30" s="1">
        <v>55</v>
      </c>
      <c r="N30" s="1">
        <v>73.116666666666617</v>
      </c>
      <c r="O30" s="1">
        <v>28.95000000000001</v>
      </c>
      <c r="P30" s="1">
        <v>5.8273333333333337</v>
      </c>
      <c r="Q30" s="1">
        <v>13.700694444444446</v>
      </c>
    </row>
    <row r="31" spans="1:17">
      <c r="A31" s="6">
        <v>44197</v>
      </c>
      <c r="B31" s="6" t="str">
        <f>VLOOKUP(C31,[1]Город!C:E,3,0)</f>
        <v>Волгоград</v>
      </c>
      <c r="C31" t="s">
        <v>45</v>
      </c>
      <c r="D31" t="s">
        <v>15</v>
      </c>
      <c r="E31">
        <v>2591675</v>
      </c>
      <c r="F31" s="4" t="s">
        <v>64</v>
      </c>
      <c r="G31" t="s">
        <v>25</v>
      </c>
      <c r="H31" s="1">
        <v>225.55030558999999</v>
      </c>
      <c r="I31" s="1">
        <v>23</v>
      </c>
      <c r="J31" s="1">
        <v>0</v>
      </c>
      <c r="K31">
        <v>25</v>
      </c>
      <c r="L31" s="9">
        <v>25</v>
      </c>
      <c r="M31" s="1">
        <v>0</v>
      </c>
      <c r="N31" s="1">
        <v>111.40000000000005</v>
      </c>
      <c r="O31" s="1">
        <v>129.93333333333337</v>
      </c>
      <c r="P31" s="1">
        <v>11.045652173913044</v>
      </c>
      <c r="Q31" s="1">
        <v>8.088636363636363</v>
      </c>
    </row>
    <row r="32" spans="1:17">
      <c r="A32" s="6">
        <v>44197</v>
      </c>
      <c r="B32" s="6" t="str">
        <f>VLOOKUP(C32,[1]Город!C:E,3,0)</f>
        <v>Москва</v>
      </c>
      <c r="C32" t="s">
        <v>39</v>
      </c>
      <c r="D32" t="s">
        <v>11</v>
      </c>
      <c r="E32">
        <v>2592688</v>
      </c>
      <c r="F32" s="4" t="s">
        <v>72</v>
      </c>
      <c r="G32" t="s">
        <v>25</v>
      </c>
      <c r="H32" s="1">
        <v>176.80887037799999</v>
      </c>
      <c r="I32" s="1">
        <v>26</v>
      </c>
      <c r="J32" s="1">
        <v>9</v>
      </c>
      <c r="K32">
        <v>135</v>
      </c>
      <c r="L32" s="9">
        <v>133</v>
      </c>
      <c r="M32" s="1">
        <v>112</v>
      </c>
      <c r="N32" s="1">
        <v>112.69999999999997</v>
      </c>
      <c r="O32" s="1">
        <v>78.68333333333338</v>
      </c>
      <c r="P32" s="1">
        <v>4.0192307692307701</v>
      </c>
      <c r="Q32" s="1">
        <v>7.346794871794871</v>
      </c>
    </row>
    <row r="33" spans="1:17">
      <c r="A33" s="6">
        <v>44197</v>
      </c>
      <c r="B33" s="6" t="str">
        <f>VLOOKUP(C33,[1]Город!C:E,3,0)</f>
        <v>Новосибирск</v>
      </c>
      <c r="C33" t="s">
        <v>42</v>
      </c>
      <c r="D33" t="s">
        <v>13</v>
      </c>
      <c r="E33">
        <v>2592150</v>
      </c>
      <c r="F33" s="4" t="s">
        <v>70</v>
      </c>
      <c r="G33" t="s">
        <v>25</v>
      </c>
      <c r="H33" s="1">
        <v>64.80304048029997</v>
      </c>
      <c r="I33" s="1">
        <v>19</v>
      </c>
      <c r="J33" s="1">
        <v>6</v>
      </c>
      <c r="K33">
        <v>178</v>
      </c>
      <c r="L33" s="9">
        <v>177</v>
      </c>
      <c r="M33" s="1">
        <v>158</v>
      </c>
      <c r="N33" s="1">
        <v>131.33333333333334</v>
      </c>
      <c r="O33" s="1">
        <v>33.350000000000009</v>
      </c>
      <c r="P33" s="1">
        <v>8.2605263157894733</v>
      </c>
      <c r="Q33" s="1">
        <v>5.4333333333333336</v>
      </c>
    </row>
    <row r="34" spans="1:17">
      <c r="A34" s="6">
        <v>44197</v>
      </c>
      <c r="B34" s="6" t="str">
        <f>VLOOKUP(C34,[1]Город!C:E,3,0)</f>
        <v>Нижний Новгород</v>
      </c>
      <c r="C34" t="s">
        <v>33</v>
      </c>
      <c r="D34" t="s">
        <v>8</v>
      </c>
      <c r="E34">
        <v>2591201</v>
      </c>
      <c r="F34" s="4" t="s">
        <v>62</v>
      </c>
      <c r="G34" t="s">
        <v>26</v>
      </c>
      <c r="H34" s="1">
        <v>412.99671681799998</v>
      </c>
      <c r="I34" s="1">
        <v>27</v>
      </c>
      <c r="J34" s="1">
        <v>0</v>
      </c>
      <c r="K34">
        <v>37</v>
      </c>
      <c r="L34" s="9">
        <v>37</v>
      </c>
      <c r="M34" s="1">
        <v>0</v>
      </c>
      <c r="N34" s="1">
        <v>52.416666666666679</v>
      </c>
      <c r="O34" s="1">
        <v>109.68333333333338</v>
      </c>
      <c r="P34" s="1">
        <v>3.2871794871794879</v>
      </c>
      <c r="Q34" s="1">
        <v>12.457692307692307</v>
      </c>
    </row>
    <row r="35" spans="1:17">
      <c r="A35" s="6">
        <v>44197</v>
      </c>
      <c r="B35" s="6" t="str">
        <f>VLOOKUP(C35,[1]Город!C:E,3,0)</f>
        <v>Омск</v>
      </c>
      <c r="C35" t="s">
        <v>35</v>
      </c>
      <c r="D35" t="s">
        <v>8</v>
      </c>
      <c r="E35">
        <v>2592365</v>
      </c>
      <c r="F35" s="4" t="s">
        <v>64</v>
      </c>
      <c r="G35" t="s">
        <v>25</v>
      </c>
      <c r="H35" s="1">
        <v>111.205166406</v>
      </c>
      <c r="I35" s="1">
        <v>25</v>
      </c>
      <c r="J35" s="1">
        <v>8</v>
      </c>
      <c r="K35">
        <v>142</v>
      </c>
      <c r="L35" s="9">
        <v>141</v>
      </c>
      <c r="M35" s="1">
        <v>114</v>
      </c>
      <c r="N35" s="1">
        <v>104.19999999999997</v>
      </c>
      <c r="O35" s="1">
        <v>48.150000000000006</v>
      </c>
      <c r="P35" s="1">
        <v>5.3205128205128212</v>
      </c>
      <c r="Q35" s="1">
        <v>8.7946666666666662</v>
      </c>
    </row>
    <row r="36" spans="1:17">
      <c r="A36" s="6">
        <v>44197</v>
      </c>
      <c r="B36" s="6" t="str">
        <f>VLOOKUP(C36,[1]Город!C:E,3,0)</f>
        <v>Волгоград</v>
      </c>
      <c r="C36" t="s">
        <v>45</v>
      </c>
      <c r="D36" t="s">
        <v>12</v>
      </c>
      <c r="E36">
        <v>2588458</v>
      </c>
      <c r="F36" s="4" t="s">
        <v>65</v>
      </c>
      <c r="G36" t="s">
        <v>25</v>
      </c>
      <c r="H36" s="1">
        <v>142.79155929199996</v>
      </c>
      <c r="I36" s="1">
        <v>27</v>
      </c>
      <c r="J36" s="1">
        <v>0</v>
      </c>
      <c r="K36">
        <v>28</v>
      </c>
      <c r="L36" s="9">
        <v>27</v>
      </c>
      <c r="M36" s="1">
        <v>0</v>
      </c>
      <c r="N36" s="1">
        <v>165.5</v>
      </c>
      <c r="O36" s="1">
        <v>64.366666666666617</v>
      </c>
      <c r="P36" s="1">
        <v>5.1482142857142845</v>
      </c>
      <c r="Q36" s="1">
        <v>17.880246913580251</v>
      </c>
    </row>
    <row r="37" spans="1:17">
      <c r="A37" s="6">
        <v>44197</v>
      </c>
      <c r="B37" s="6" t="str">
        <f>VLOOKUP(C37,[1]Город!C:E,3,0)</f>
        <v>Екатеринбург</v>
      </c>
      <c r="C37" t="s">
        <v>31</v>
      </c>
      <c r="D37" t="s">
        <v>10</v>
      </c>
      <c r="E37">
        <v>2590758</v>
      </c>
      <c r="F37" s="4" t="s">
        <v>63</v>
      </c>
      <c r="G37" t="s">
        <v>25</v>
      </c>
      <c r="H37" s="1">
        <v>246.99727927099994</v>
      </c>
      <c r="I37" s="1">
        <v>34</v>
      </c>
      <c r="J37" s="1">
        <v>7</v>
      </c>
      <c r="K37">
        <v>96</v>
      </c>
      <c r="L37" s="9">
        <v>95</v>
      </c>
      <c r="M37" s="1">
        <v>57</v>
      </c>
      <c r="N37" s="1">
        <v>126.3666666666667</v>
      </c>
      <c r="O37" s="1">
        <v>127.34999999999995</v>
      </c>
      <c r="P37" s="1">
        <v>5.0424242424242438</v>
      </c>
      <c r="Q37" s="1">
        <v>7.7744791666666657</v>
      </c>
    </row>
    <row r="38" spans="1:17">
      <c r="A38" s="6">
        <v>44197</v>
      </c>
      <c r="B38" s="6" t="str">
        <f>VLOOKUP(C38,[1]Город!C:E,3,0)</f>
        <v>Новосибирск</v>
      </c>
      <c r="C38" t="s">
        <v>42</v>
      </c>
      <c r="D38" t="s">
        <v>13</v>
      </c>
      <c r="E38">
        <v>2592151</v>
      </c>
      <c r="F38" s="4" t="s">
        <v>68</v>
      </c>
      <c r="G38" t="s">
        <v>25</v>
      </c>
      <c r="H38" s="1">
        <v>50.764821531499983</v>
      </c>
      <c r="I38" s="1">
        <v>22</v>
      </c>
      <c r="J38" s="1">
        <v>8</v>
      </c>
      <c r="K38">
        <v>158</v>
      </c>
      <c r="L38" s="9">
        <v>155</v>
      </c>
      <c r="M38" s="1">
        <v>128</v>
      </c>
      <c r="N38" s="1">
        <v>120.68333333333338</v>
      </c>
      <c r="O38" s="1">
        <v>5.799999999999998</v>
      </c>
      <c r="P38" s="1">
        <v>10.634057971014496</v>
      </c>
      <c r="Q38" s="1">
        <v>9.5143939393939387</v>
      </c>
    </row>
    <row r="39" spans="1:17">
      <c r="A39" s="6">
        <v>44197</v>
      </c>
      <c r="B39" s="6" t="str">
        <f>VLOOKUP(C39,[1]Город!C:E,3,0)</f>
        <v>Москва</v>
      </c>
      <c r="C39" t="s">
        <v>39</v>
      </c>
      <c r="D39" t="s">
        <v>13</v>
      </c>
      <c r="E39">
        <v>2592626</v>
      </c>
      <c r="F39" s="4" t="s">
        <v>66</v>
      </c>
      <c r="G39" t="s">
        <v>26</v>
      </c>
      <c r="H39" s="1">
        <v>111.55649925700001</v>
      </c>
      <c r="I39" s="1">
        <v>21</v>
      </c>
      <c r="J39" s="1">
        <v>9</v>
      </c>
      <c r="K39">
        <v>115</v>
      </c>
      <c r="L39" s="9">
        <v>115</v>
      </c>
      <c r="M39" s="1">
        <v>102</v>
      </c>
      <c r="N39" s="1">
        <v>41.600000000000009</v>
      </c>
      <c r="O39" s="1">
        <v>34.566666666666684</v>
      </c>
      <c r="P39" s="1">
        <v>3.8793650793650789</v>
      </c>
      <c r="Q39" s="1">
        <v>10.871666666666666</v>
      </c>
    </row>
    <row r="40" spans="1:17">
      <c r="A40" s="6">
        <v>44197</v>
      </c>
      <c r="B40" s="6" t="str">
        <f>VLOOKUP(C40,[1]Город!C:E,3,0)</f>
        <v>Ульяновск</v>
      </c>
      <c r="C40" t="s">
        <v>40</v>
      </c>
      <c r="D40" t="s">
        <v>11</v>
      </c>
      <c r="E40">
        <v>2593168</v>
      </c>
      <c r="F40" s="4" t="s">
        <v>72</v>
      </c>
      <c r="G40" t="s">
        <v>26</v>
      </c>
      <c r="H40" s="1">
        <v>156.76761248099993</v>
      </c>
      <c r="I40" s="1">
        <v>6</v>
      </c>
      <c r="J40" s="1">
        <v>1</v>
      </c>
      <c r="K40">
        <v>41</v>
      </c>
      <c r="L40" s="9">
        <v>41</v>
      </c>
      <c r="M40" s="1">
        <v>31</v>
      </c>
      <c r="N40" s="1">
        <v>34.516666666666659</v>
      </c>
      <c r="O40" s="1">
        <v>85.833333333333329</v>
      </c>
      <c r="P40" s="1">
        <v>9.2388888888888907</v>
      </c>
      <c r="Q40" s="1">
        <v>8.456666666666667</v>
      </c>
    </row>
    <row r="41" spans="1:17">
      <c r="A41" s="6">
        <v>44197</v>
      </c>
      <c r="B41" s="6" t="str">
        <f>VLOOKUP(C41,[1]Город!C:E,3,0)</f>
        <v>Москва</v>
      </c>
      <c r="C41" t="s">
        <v>34</v>
      </c>
      <c r="D41" t="s">
        <v>10</v>
      </c>
      <c r="E41">
        <v>2592303</v>
      </c>
      <c r="F41" s="4" t="s">
        <v>70</v>
      </c>
      <c r="G41" t="s">
        <v>25</v>
      </c>
      <c r="H41" s="1">
        <v>44.167278974100007</v>
      </c>
      <c r="I41" s="1">
        <v>13</v>
      </c>
      <c r="J41" s="1">
        <v>3</v>
      </c>
      <c r="K41">
        <v>192</v>
      </c>
      <c r="L41" s="9">
        <v>190</v>
      </c>
      <c r="M41" s="1">
        <v>175</v>
      </c>
      <c r="N41" s="1">
        <v>143.38333333333327</v>
      </c>
      <c r="O41" s="1">
        <v>22.449999999999992</v>
      </c>
      <c r="P41" s="1">
        <v>13.003333333333332</v>
      </c>
      <c r="Q41" s="1">
        <v>7.5011904761904757</v>
      </c>
    </row>
    <row r="42" spans="1:17">
      <c r="A42" s="6">
        <v>44197</v>
      </c>
      <c r="B42" s="6" t="str">
        <f>VLOOKUP(C42,[1]Город!C:E,3,0)</f>
        <v>Волгоград</v>
      </c>
      <c r="C42" t="s">
        <v>45</v>
      </c>
      <c r="D42" t="s">
        <v>16</v>
      </c>
      <c r="E42">
        <v>2591811</v>
      </c>
      <c r="F42" s="4" t="s">
        <v>62</v>
      </c>
      <c r="G42" t="s">
        <v>25</v>
      </c>
      <c r="H42" s="1">
        <v>95.451473475599983</v>
      </c>
      <c r="I42" s="1">
        <v>10</v>
      </c>
      <c r="J42" s="1">
        <v>0</v>
      </c>
      <c r="K42">
        <v>13</v>
      </c>
      <c r="L42" s="9">
        <v>11</v>
      </c>
      <c r="M42" s="1">
        <v>0</v>
      </c>
      <c r="N42" s="1">
        <v>86.63333333333334</v>
      </c>
      <c r="O42" s="1">
        <v>53.266666666666666</v>
      </c>
      <c r="P42" s="1">
        <v>2.1599999999999997</v>
      </c>
      <c r="Q42" s="1">
        <v>28.346296296296295</v>
      </c>
    </row>
    <row r="43" spans="1:17">
      <c r="A43" s="6">
        <v>44197</v>
      </c>
      <c r="B43" s="6" t="str">
        <f>VLOOKUP(C43,[1]Город!C:E,3,0)</f>
        <v>Москва</v>
      </c>
      <c r="C43" t="s">
        <v>39</v>
      </c>
      <c r="D43" t="s">
        <v>8</v>
      </c>
      <c r="E43">
        <v>2592442</v>
      </c>
      <c r="F43" s="4" t="s">
        <v>62</v>
      </c>
      <c r="G43" t="s">
        <v>26</v>
      </c>
      <c r="H43" s="1">
        <v>66.472827181099987</v>
      </c>
      <c r="I43" s="1">
        <v>15</v>
      </c>
      <c r="J43" s="1">
        <v>7</v>
      </c>
      <c r="K43">
        <v>75</v>
      </c>
      <c r="L43" s="9">
        <v>75</v>
      </c>
      <c r="M43" s="1">
        <v>66</v>
      </c>
      <c r="N43" s="1">
        <v>69.183333333333366</v>
      </c>
      <c r="O43" s="1">
        <v>32.100000000000009</v>
      </c>
      <c r="P43" s="1">
        <v>10.866666666666669</v>
      </c>
      <c r="Q43" s="1">
        <v>5.2307692307692308</v>
      </c>
    </row>
    <row r="44" spans="1:17">
      <c r="A44" s="6">
        <v>44197</v>
      </c>
      <c r="B44" s="6" t="str">
        <f>VLOOKUP(C44,[1]Город!C:E,3,0)</f>
        <v>Волгоград</v>
      </c>
      <c r="C44" t="s">
        <v>45</v>
      </c>
      <c r="D44" t="s">
        <v>12</v>
      </c>
      <c r="E44">
        <v>2591815</v>
      </c>
      <c r="F44" s="4" t="s">
        <v>62</v>
      </c>
      <c r="G44" t="s">
        <v>25</v>
      </c>
      <c r="H44" s="1">
        <v>114.65375984199999</v>
      </c>
      <c r="I44" s="1">
        <v>20</v>
      </c>
      <c r="J44" s="1">
        <v>0</v>
      </c>
      <c r="K44">
        <v>26</v>
      </c>
      <c r="L44" s="9">
        <v>23</v>
      </c>
      <c r="M44" s="1">
        <v>0</v>
      </c>
      <c r="N44" s="1">
        <v>228.13333333333327</v>
      </c>
      <c r="O44" s="1">
        <v>20.899999999999995</v>
      </c>
      <c r="P44" s="1">
        <v>8.4539682539682541</v>
      </c>
      <c r="Q44" s="1">
        <v>17.123333333333331</v>
      </c>
    </row>
    <row r="45" spans="1:17">
      <c r="A45" s="6">
        <v>44197</v>
      </c>
      <c r="B45" s="6" t="str">
        <f>VLOOKUP(C45,[1]Город!C:E,3,0)</f>
        <v>Москва</v>
      </c>
      <c r="C45" t="s">
        <v>34</v>
      </c>
      <c r="D45" t="s">
        <v>13</v>
      </c>
      <c r="E45">
        <v>2592231</v>
      </c>
      <c r="F45" s="4" t="s">
        <v>61</v>
      </c>
      <c r="G45" t="s">
        <v>25</v>
      </c>
      <c r="H45" s="1">
        <v>73.793188558200001</v>
      </c>
      <c r="I45" s="1">
        <v>14</v>
      </c>
      <c r="J45" s="1">
        <v>4</v>
      </c>
      <c r="K45">
        <v>248</v>
      </c>
      <c r="L45" s="9">
        <v>246</v>
      </c>
      <c r="M45" s="1">
        <v>232</v>
      </c>
      <c r="N45" s="1">
        <v>157</v>
      </c>
      <c r="O45" s="1">
        <v>34.633333333333333</v>
      </c>
      <c r="P45" s="1">
        <v>9.4952380952380953</v>
      </c>
      <c r="Q45" s="1">
        <v>5.7974358974358973</v>
      </c>
    </row>
    <row r="46" spans="1:17">
      <c r="A46" s="6">
        <v>44197</v>
      </c>
      <c r="B46" s="6" t="str">
        <f>VLOOKUP(C46,[1]Город!C:E,3,0)</f>
        <v>Москва</v>
      </c>
      <c r="C46" t="s">
        <v>34</v>
      </c>
      <c r="D46" t="s">
        <v>11</v>
      </c>
      <c r="E46">
        <v>2592387</v>
      </c>
      <c r="F46" s="4" t="s">
        <v>73</v>
      </c>
      <c r="G46" t="s">
        <v>26</v>
      </c>
      <c r="H46" s="1">
        <v>79.221310709400029</v>
      </c>
      <c r="I46" s="1">
        <v>20</v>
      </c>
      <c r="J46" s="1">
        <v>4</v>
      </c>
      <c r="K46">
        <v>95</v>
      </c>
      <c r="L46" s="9">
        <v>95</v>
      </c>
      <c r="M46" s="1">
        <v>65</v>
      </c>
      <c r="N46" s="1">
        <v>82.400000000000034</v>
      </c>
      <c r="O46" s="1">
        <v>18.550000000000008</v>
      </c>
      <c r="P46" s="1">
        <v>4.6909090909090914</v>
      </c>
      <c r="Q46" s="1">
        <v>15.980952380952385</v>
      </c>
    </row>
    <row r="47" spans="1:17">
      <c r="A47" s="6">
        <v>44197</v>
      </c>
      <c r="B47" s="6" t="str">
        <f>VLOOKUP(C47,[1]Город!C:E,3,0)</f>
        <v>Москва</v>
      </c>
      <c r="C47" t="s">
        <v>39</v>
      </c>
      <c r="D47" t="s">
        <v>11</v>
      </c>
      <c r="E47">
        <v>2590822</v>
      </c>
      <c r="F47" s="4" t="s">
        <v>62</v>
      </c>
      <c r="G47" t="s">
        <v>26</v>
      </c>
      <c r="H47" s="1">
        <v>95.931228413100044</v>
      </c>
      <c r="I47" s="1">
        <v>19</v>
      </c>
      <c r="J47" s="1">
        <v>10</v>
      </c>
      <c r="K47">
        <v>153</v>
      </c>
      <c r="L47" s="9">
        <v>151</v>
      </c>
      <c r="M47" s="1">
        <v>138</v>
      </c>
      <c r="N47" s="1">
        <v>101.95000000000003</v>
      </c>
      <c r="O47" s="1">
        <v>36.216666666666683</v>
      </c>
      <c r="P47" s="1">
        <v>6.1175000000000006</v>
      </c>
      <c r="Q47" s="1">
        <v>8.1412280701754369</v>
      </c>
    </row>
    <row r="48" spans="1:17">
      <c r="A48" s="6">
        <v>44197</v>
      </c>
      <c r="B48" s="6" t="str">
        <f>VLOOKUP(C48,[1]Город!C:E,3,0)</f>
        <v>Волгоград</v>
      </c>
      <c r="C48" t="s">
        <v>45</v>
      </c>
      <c r="D48" t="s">
        <v>15</v>
      </c>
      <c r="E48">
        <v>2591666</v>
      </c>
      <c r="F48" s="4" t="s">
        <v>62</v>
      </c>
      <c r="G48" t="s">
        <v>25</v>
      </c>
      <c r="H48" s="1">
        <v>140.04880813099999</v>
      </c>
      <c r="I48" s="1">
        <v>17</v>
      </c>
      <c r="J48" s="1">
        <v>0</v>
      </c>
      <c r="K48">
        <v>19</v>
      </c>
      <c r="L48" s="9">
        <v>19</v>
      </c>
      <c r="M48" s="1">
        <v>0</v>
      </c>
      <c r="N48" s="1">
        <v>111.09999999999997</v>
      </c>
      <c r="O48" s="1">
        <v>140.73333333333332</v>
      </c>
      <c r="P48" s="1">
        <v>15.205208333333331</v>
      </c>
      <c r="Q48" s="1">
        <v>14.433333333333334</v>
      </c>
    </row>
    <row r="49" spans="1:17">
      <c r="A49" s="6">
        <v>44197</v>
      </c>
      <c r="B49" s="6" t="str">
        <f>VLOOKUP(C49,[1]Город!C:E,3,0)</f>
        <v>Красноярск</v>
      </c>
      <c r="C49" t="s">
        <v>44</v>
      </c>
      <c r="D49" t="s">
        <v>13</v>
      </c>
      <c r="E49">
        <v>2592702</v>
      </c>
      <c r="F49" s="4" t="s">
        <v>64</v>
      </c>
      <c r="G49" t="s">
        <v>25</v>
      </c>
      <c r="H49" s="1">
        <v>342.72131575499998</v>
      </c>
      <c r="I49" s="1">
        <v>15</v>
      </c>
      <c r="J49" s="1">
        <v>0</v>
      </c>
      <c r="K49">
        <v>19</v>
      </c>
      <c r="L49" s="9">
        <v>18</v>
      </c>
      <c r="M49" s="1">
        <v>0</v>
      </c>
      <c r="N49" s="1">
        <v>63.866666666666667</v>
      </c>
      <c r="O49" s="1">
        <v>30.016666666666655</v>
      </c>
      <c r="P49" s="1">
        <v>4.5311111111111115</v>
      </c>
      <c r="Q49" s="1">
        <v>29.927380952380954</v>
      </c>
    </row>
    <row r="50" spans="1:17">
      <c r="A50" s="6">
        <v>44197</v>
      </c>
      <c r="B50" s="6" t="str">
        <f>VLOOKUP(C50,[1]Город!C:E,3,0)</f>
        <v>Новосибирск</v>
      </c>
      <c r="C50" t="s">
        <v>42</v>
      </c>
      <c r="D50" t="s">
        <v>10</v>
      </c>
      <c r="E50">
        <v>2590429</v>
      </c>
      <c r="F50" s="4" t="s">
        <v>69</v>
      </c>
      <c r="G50" t="s">
        <v>25</v>
      </c>
      <c r="H50" s="1">
        <v>30.377605734899998</v>
      </c>
      <c r="I50" s="1">
        <v>4</v>
      </c>
      <c r="J50" s="1">
        <v>4</v>
      </c>
      <c r="K50">
        <v>227</v>
      </c>
      <c r="L50" s="9">
        <v>226</v>
      </c>
      <c r="M50" s="1">
        <v>226</v>
      </c>
      <c r="N50" s="1">
        <v>286.10000000000002</v>
      </c>
      <c r="P50" s="1">
        <v>14.670833333333334</v>
      </c>
      <c r="Q50" s="1">
        <v>18.166666666666668</v>
      </c>
    </row>
    <row r="51" spans="1:17">
      <c r="A51" s="6">
        <v>44197</v>
      </c>
      <c r="B51" s="6" t="str">
        <f>VLOOKUP(C51,[1]Город!C:E,3,0)</f>
        <v>Самара</v>
      </c>
      <c r="C51" t="s">
        <v>30</v>
      </c>
      <c r="D51" t="s">
        <v>12</v>
      </c>
      <c r="E51">
        <v>2593388</v>
      </c>
      <c r="F51" s="4" t="s">
        <v>62</v>
      </c>
      <c r="G51" t="s">
        <v>26</v>
      </c>
      <c r="H51" s="1">
        <v>294.31454094899999</v>
      </c>
      <c r="I51" s="1">
        <v>17</v>
      </c>
      <c r="J51" s="1">
        <v>0</v>
      </c>
      <c r="K51">
        <v>48</v>
      </c>
      <c r="L51" s="9">
        <v>33</v>
      </c>
      <c r="M51" s="1">
        <v>0</v>
      </c>
      <c r="N51" s="1">
        <v>98.466666666666683</v>
      </c>
      <c r="O51" s="1">
        <v>152.63333333333327</v>
      </c>
      <c r="P51" s="1">
        <v>4.5385964912280699</v>
      </c>
      <c r="Q51" s="1">
        <v>12.171296296296298</v>
      </c>
    </row>
    <row r="52" spans="1:17">
      <c r="A52" s="6">
        <v>44197</v>
      </c>
      <c r="B52" s="6" t="str">
        <f>VLOOKUP(C52,[1]Город!C:E,3,0)</f>
        <v>Москва</v>
      </c>
      <c r="C52" t="s">
        <v>39</v>
      </c>
      <c r="D52" t="s">
        <v>9</v>
      </c>
      <c r="E52">
        <v>2592491</v>
      </c>
      <c r="F52" s="4" t="s">
        <v>66</v>
      </c>
      <c r="G52" t="s">
        <v>25</v>
      </c>
      <c r="H52" s="1">
        <v>134.34385040800004</v>
      </c>
      <c r="I52" s="1">
        <v>32</v>
      </c>
      <c r="J52" s="1">
        <v>6</v>
      </c>
      <c r="K52">
        <v>171</v>
      </c>
      <c r="L52" s="9">
        <v>170</v>
      </c>
      <c r="M52" s="1">
        <v>130</v>
      </c>
      <c r="N52" s="1">
        <v>121.96666666666668</v>
      </c>
      <c r="O52" s="1">
        <v>31.399999999999988</v>
      </c>
      <c r="P52" s="1">
        <v>4.6707070707070688</v>
      </c>
      <c r="Q52" s="1">
        <v>9.3796874999999993</v>
      </c>
    </row>
    <row r="53" spans="1:17">
      <c r="A53" s="6">
        <v>44197</v>
      </c>
      <c r="B53" s="6" t="str">
        <f>VLOOKUP(C53,[1]Город!C:E,3,0)</f>
        <v>Москва</v>
      </c>
      <c r="C53" t="s">
        <v>39</v>
      </c>
      <c r="D53" t="s">
        <v>10</v>
      </c>
      <c r="E53">
        <v>2593136</v>
      </c>
      <c r="F53" s="4" t="s">
        <v>62</v>
      </c>
      <c r="G53" t="s">
        <v>26</v>
      </c>
      <c r="H53" s="1">
        <v>375.31012184999997</v>
      </c>
      <c r="I53" s="1">
        <v>19</v>
      </c>
      <c r="J53" s="1">
        <v>2</v>
      </c>
      <c r="K53">
        <v>48</v>
      </c>
      <c r="L53" s="9">
        <v>48</v>
      </c>
      <c r="M53" s="1">
        <v>13</v>
      </c>
      <c r="N53" s="1">
        <v>68.083333333333329</v>
      </c>
      <c r="O53" s="1">
        <v>151.06666666666663</v>
      </c>
      <c r="P53" s="1">
        <v>5.742105263157895</v>
      </c>
      <c r="Q53" s="1">
        <v>5.7898148148148154</v>
      </c>
    </row>
    <row r="54" spans="1:17">
      <c r="A54" s="6">
        <v>44197</v>
      </c>
      <c r="B54" s="6" t="str">
        <f>VLOOKUP(C54,[1]Город!C:E,3,0)</f>
        <v>Казань</v>
      </c>
      <c r="C54" t="s">
        <v>36</v>
      </c>
      <c r="D54" t="s">
        <v>9</v>
      </c>
      <c r="E54">
        <v>2591333</v>
      </c>
      <c r="F54" s="4" t="s">
        <v>70</v>
      </c>
      <c r="G54" t="s">
        <v>25</v>
      </c>
      <c r="H54" s="1">
        <v>103.18295270500001</v>
      </c>
      <c r="I54" s="1">
        <v>26</v>
      </c>
      <c r="J54" s="1">
        <v>3</v>
      </c>
      <c r="K54">
        <v>64</v>
      </c>
      <c r="L54" s="9">
        <v>61</v>
      </c>
      <c r="M54" s="1">
        <v>28</v>
      </c>
      <c r="N54" s="1">
        <v>108.58333333333337</v>
      </c>
      <c r="O54" s="1">
        <v>13.300000000000008</v>
      </c>
      <c r="P54" s="1">
        <v>9.6858974358974361</v>
      </c>
      <c r="Q54" s="1">
        <v>5.1074074074074076</v>
      </c>
    </row>
    <row r="55" spans="1:17">
      <c r="A55" s="6">
        <v>44197</v>
      </c>
      <c r="B55" s="6" t="str">
        <f>VLOOKUP(C55,[1]Город!C:E,3,0)</f>
        <v>Новосибирск</v>
      </c>
      <c r="C55" t="s">
        <v>42</v>
      </c>
      <c r="D55" t="s">
        <v>12</v>
      </c>
      <c r="E55">
        <v>2590452</v>
      </c>
      <c r="F55" s="4" t="s">
        <v>69</v>
      </c>
      <c r="G55" t="s">
        <v>25</v>
      </c>
      <c r="H55" s="1">
        <v>78.105958500599996</v>
      </c>
      <c r="I55" s="1">
        <v>5</v>
      </c>
      <c r="J55" s="1">
        <v>5</v>
      </c>
      <c r="K55">
        <v>225</v>
      </c>
      <c r="L55" s="9">
        <v>225</v>
      </c>
      <c r="M55" s="1">
        <v>225</v>
      </c>
      <c r="N55" s="1">
        <v>104.76666666666668</v>
      </c>
      <c r="O55" s="1">
        <v>24.8</v>
      </c>
      <c r="P55" s="1">
        <v>14.963333333333333</v>
      </c>
      <c r="Q55" s="1">
        <v>11.045833333333333</v>
      </c>
    </row>
    <row r="56" spans="1:17">
      <c r="A56" s="6">
        <v>44197</v>
      </c>
      <c r="B56" s="6" t="str">
        <f>VLOOKUP(C56,[1]Город!C:E,3,0)</f>
        <v>Красноярск</v>
      </c>
      <c r="C56" t="s">
        <v>44</v>
      </c>
      <c r="D56" t="s">
        <v>12</v>
      </c>
      <c r="E56">
        <v>2592700</v>
      </c>
      <c r="F56" s="4" t="s">
        <v>64</v>
      </c>
      <c r="G56" t="s">
        <v>26</v>
      </c>
      <c r="H56" s="1">
        <v>289.32223129099987</v>
      </c>
      <c r="I56" s="1">
        <v>25</v>
      </c>
      <c r="J56" s="1">
        <v>1</v>
      </c>
      <c r="K56">
        <v>57</v>
      </c>
      <c r="L56" s="9">
        <v>55</v>
      </c>
      <c r="M56" s="1">
        <v>8</v>
      </c>
      <c r="N56" s="1">
        <v>48.71666666666669</v>
      </c>
      <c r="O56" s="1">
        <v>101.15000000000003</v>
      </c>
      <c r="P56" s="1">
        <v>7.1840277777777777</v>
      </c>
      <c r="Q56" s="1">
        <v>3.02536231884058</v>
      </c>
    </row>
    <row r="57" spans="1:17">
      <c r="A57" s="6">
        <v>44197</v>
      </c>
      <c r="B57" s="6" t="str">
        <f>VLOOKUP(C57,[1]Город!C:E,3,0)</f>
        <v>Челябинск</v>
      </c>
      <c r="C57" t="s">
        <v>37</v>
      </c>
      <c r="D57" t="s">
        <v>13</v>
      </c>
      <c r="E57">
        <v>2590327</v>
      </c>
      <c r="F57" s="4" t="s">
        <v>70</v>
      </c>
      <c r="G57" t="s">
        <v>25</v>
      </c>
      <c r="H57" s="1">
        <v>85.968100000999996</v>
      </c>
      <c r="I57" s="1">
        <v>20</v>
      </c>
      <c r="J57" s="1">
        <v>5</v>
      </c>
      <c r="K57">
        <v>225</v>
      </c>
      <c r="L57" s="9">
        <v>213</v>
      </c>
      <c r="M57" s="1">
        <v>192</v>
      </c>
      <c r="N57" s="1">
        <v>234.5500000000001</v>
      </c>
      <c r="O57" s="1">
        <v>90.216666666666683</v>
      </c>
      <c r="P57" s="1">
        <v>11.87</v>
      </c>
      <c r="Q57" s="1">
        <v>17.785087719298247</v>
      </c>
    </row>
    <row r="58" spans="1:17">
      <c r="A58" s="6">
        <v>44197</v>
      </c>
      <c r="B58" s="6" t="str">
        <f>VLOOKUP(C58,[1]Город!C:E,3,0)</f>
        <v>Екатеринбург</v>
      </c>
      <c r="C58" t="s">
        <v>31</v>
      </c>
      <c r="D58" t="s">
        <v>10</v>
      </c>
      <c r="E58">
        <v>2591559</v>
      </c>
      <c r="F58" s="4" t="s">
        <v>64</v>
      </c>
      <c r="G58" t="s">
        <v>25</v>
      </c>
      <c r="H58" s="1">
        <v>89.586339837599965</v>
      </c>
      <c r="I58" s="1">
        <v>32</v>
      </c>
      <c r="J58" s="1">
        <v>1</v>
      </c>
      <c r="K58">
        <v>112</v>
      </c>
      <c r="L58" s="9">
        <v>109</v>
      </c>
      <c r="M58" s="1">
        <v>66</v>
      </c>
      <c r="N58" s="1">
        <v>139.03333333333345</v>
      </c>
      <c r="O58" s="1">
        <v>89.81666666666662</v>
      </c>
      <c r="P58" s="1">
        <v>4.2146825396825385</v>
      </c>
      <c r="Q58" s="1">
        <v>7.6939024390243889</v>
      </c>
    </row>
    <row r="59" spans="1:17">
      <c r="A59" s="6">
        <v>44197</v>
      </c>
      <c r="B59" s="6" t="str">
        <f>VLOOKUP(C59,[1]Город!C:E,3,0)</f>
        <v>Санкт-Петербург</v>
      </c>
      <c r="C59" t="s">
        <v>29</v>
      </c>
      <c r="D59" t="s">
        <v>9</v>
      </c>
      <c r="E59">
        <v>2591192</v>
      </c>
      <c r="F59" s="4" t="s">
        <v>64</v>
      </c>
      <c r="G59" t="s">
        <v>25</v>
      </c>
      <c r="H59" s="1">
        <v>100.84628080499999</v>
      </c>
      <c r="I59" s="1">
        <v>28</v>
      </c>
      <c r="J59" s="1">
        <v>13</v>
      </c>
      <c r="K59">
        <v>236</v>
      </c>
      <c r="L59" s="9">
        <v>231</v>
      </c>
      <c r="M59" s="1">
        <v>211</v>
      </c>
      <c r="N59" s="1">
        <v>122.34999999999994</v>
      </c>
      <c r="O59" s="1">
        <v>93.733333333333277</v>
      </c>
      <c r="P59" s="1">
        <v>4.7632183908045986</v>
      </c>
      <c r="Q59" s="1">
        <v>7.266071428571431</v>
      </c>
    </row>
    <row r="60" spans="1:17">
      <c r="A60" s="6">
        <v>44197</v>
      </c>
      <c r="B60" s="6" t="str">
        <f>VLOOKUP(C60,[1]Город!C:E,3,0)</f>
        <v>Санкт-Петербург</v>
      </c>
      <c r="C60" t="s">
        <v>29</v>
      </c>
      <c r="D60" t="s">
        <v>9</v>
      </c>
      <c r="E60">
        <v>2591138</v>
      </c>
      <c r="F60" s="4" t="s">
        <v>64</v>
      </c>
      <c r="G60" t="s">
        <v>25</v>
      </c>
      <c r="H60" s="1">
        <v>209.24749230899999</v>
      </c>
      <c r="I60" s="1">
        <v>40</v>
      </c>
      <c r="J60" s="1">
        <v>7</v>
      </c>
      <c r="K60">
        <v>87</v>
      </c>
      <c r="L60" s="9">
        <v>85</v>
      </c>
      <c r="M60" s="1">
        <v>45</v>
      </c>
      <c r="N60" s="1">
        <v>150.81666666666663</v>
      </c>
      <c r="O60" s="1">
        <v>89.266666666666751</v>
      </c>
      <c r="P60" s="1">
        <v>3.9641666666666673</v>
      </c>
      <c r="Q60" s="1">
        <v>5.7858974358974349</v>
      </c>
    </row>
    <row r="61" spans="1:17">
      <c r="A61" s="6">
        <v>44197</v>
      </c>
      <c r="B61" s="6" t="str">
        <f>VLOOKUP(C61,[1]Город!C:E,3,0)</f>
        <v>Москва</v>
      </c>
      <c r="C61" t="s">
        <v>39</v>
      </c>
      <c r="D61" t="s">
        <v>8</v>
      </c>
      <c r="E61">
        <v>2592601</v>
      </c>
      <c r="F61" s="4" t="s">
        <v>62</v>
      </c>
      <c r="G61" t="s">
        <v>25</v>
      </c>
      <c r="H61" s="1">
        <v>103.28738340800001</v>
      </c>
      <c r="I61" s="1">
        <v>19</v>
      </c>
      <c r="J61" s="1">
        <v>6</v>
      </c>
      <c r="K61">
        <v>194</v>
      </c>
      <c r="L61" s="9">
        <v>193</v>
      </c>
      <c r="M61" s="1">
        <v>180</v>
      </c>
      <c r="N61" s="1">
        <v>111.41666666666669</v>
      </c>
      <c r="O61" s="1">
        <v>48.08333333333335</v>
      </c>
      <c r="P61" s="1">
        <v>9.2964912280701757</v>
      </c>
      <c r="Q61" s="1">
        <v>10.376851851851853</v>
      </c>
    </row>
    <row r="62" spans="1:17">
      <c r="A62" s="6">
        <v>44197</v>
      </c>
      <c r="B62" s="6" t="str">
        <f>VLOOKUP(C62,[1]Город!C:E,3,0)</f>
        <v>Санкт-Петербург</v>
      </c>
      <c r="C62" t="s">
        <v>29</v>
      </c>
      <c r="D62" t="s">
        <v>8</v>
      </c>
      <c r="E62">
        <v>2591515</v>
      </c>
      <c r="F62" s="4" t="s">
        <v>62</v>
      </c>
      <c r="G62" t="s">
        <v>25</v>
      </c>
      <c r="H62" s="1">
        <v>134.50258413300003</v>
      </c>
      <c r="I62" s="1">
        <v>30</v>
      </c>
      <c r="J62" s="1">
        <v>10</v>
      </c>
      <c r="K62">
        <v>118</v>
      </c>
      <c r="L62" s="9">
        <v>116</v>
      </c>
      <c r="M62" s="1">
        <v>89</v>
      </c>
      <c r="N62" s="1">
        <v>125.34999999999994</v>
      </c>
      <c r="O62" s="1">
        <v>54.633333333333375</v>
      </c>
      <c r="P62" s="1">
        <v>3.8302083333333328</v>
      </c>
      <c r="Q62" s="1">
        <v>10.819354838709678</v>
      </c>
    </row>
    <row r="63" spans="1:17">
      <c r="A63" s="6">
        <v>44197</v>
      </c>
      <c r="B63" s="6" t="str">
        <f>VLOOKUP(C63,[1]Город!C:E,3,0)</f>
        <v>Казань</v>
      </c>
      <c r="C63" t="s">
        <v>36</v>
      </c>
      <c r="D63" t="s">
        <v>13</v>
      </c>
      <c r="E63">
        <v>2591622</v>
      </c>
      <c r="F63" s="4" t="s">
        <v>70</v>
      </c>
      <c r="G63" t="s">
        <v>25</v>
      </c>
      <c r="H63" s="1">
        <v>65.651288482799998</v>
      </c>
      <c r="I63" s="1">
        <v>24</v>
      </c>
      <c r="J63" s="1">
        <v>4</v>
      </c>
      <c r="K63">
        <v>106</v>
      </c>
      <c r="L63" s="9">
        <v>93</v>
      </c>
      <c r="M63" s="1">
        <v>71</v>
      </c>
      <c r="N63" s="1">
        <v>145.19999999999996</v>
      </c>
      <c r="O63" s="1">
        <v>69.34999999999998</v>
      </c>
      <c r="P63" s="1">
        <v>12.075000000000003</v>
      </c>
      <c r="Q63" s="1">
        <v>12.29927536231884</v>
      </c>
    </row>
    <row r="64" spans="1:17">
      <c r="A64" s="6">
        <v>44197</v>
      </c>
      <c r="B64" s="6" t="str">
        <f>VLOOKUP(C64,[1]Город!C:E,3,0)</f>
        <v>Новосибирск</v>
      </c>
      <c r="C64" t="s">
        <v>42</v>
      </c>
      <c r="D64" t="s">
        <v>13</v>
      </c>
      <c r="E64">
        <v>2590403</v>
      </c>
      <c r="F64" s="4" t="s">
        <v>69</v>
      </c>
      <c r="G64" t="s">
        <v>25</v>
      </c>
      <c r="H64" s="1">
        <v>47.286412441500012</v>
      </c>
      <c r="I64" s="1">
        <v>5</v>
      </c>
      <c r="J64" s="1">
        <v>5</v>
      </c>
      <c r="K64">
        <v>227</v>
      </c>
      <c r="L64" s="9">
        <v>223</v>
      </c>
      <c r="M64" s="1">
        <v>222</v>
      </c>
      <c r="N64" s="1">
        <v>133.13333333333333</v>
      </c>
      <c r="O64" s="1">
        <v>92.05</v>
      </c>
      <c r="P64" s="1">
        <v>21.923333333333336</v>
      </c>
      <c r="Q64" s="1">
        <v>15.887499999999999</v>
      </c>
    </row>
    <row r="65" spans="1:17">
      <c r="A65" s="6">
        <v>44197</v>
      </c>
      <c r="B65" s="6" t="str">
        <f>VLOOKUP(C65,[1]Город!C:E,3,0)</f>
        <v>Московская область</v>
      </c>
      <c r="C65" t="s">
        <v>46</v>
      </c>
      <c r="D65" t="s">
        <v>12</v>
      </c>
      <c r="E65">
        <v>2592760</v>
      </c>
      <c r="F65" s="4" t="s">
        <v>62</v>
      </c>
      <c r="G65" t="s">
        <v>26</v>
      </c>
      <c r="H65" s="1">
        <v>92.882837998799999</v>
      </c>
      <c r="I65" s="1">
        <v>18</v>
      </c>
      <c r="J65" s="1">
        <v>4</v>
      </c>
      <c r="K65">
        <v>45</v>
      </c>
      <c r="L65" s="9">
        <v>44</v>
      </c>
      <c r="M65" s="1">
        <v>28</v>
      </c>
      <c r="N65" s="1">
        <v>51.483333333333341</v>
      </c>
      <c r="O65" s="1">
        <v>24.75</v>
      </c>
      <c r="P65" s="1">
        <v>8.2368421052631575</v>
      </c>
      <c r="Q65" s="1">
        <v>11.091666666666667</v>
      </c>
    </row>
    <row r="66" spans="1:17">
      <c r="A66" s="6">
        <v>44197</v>
      </c>
      <c r="B66" s="6" t="str">
        <f>VLOOKUP(C66,[1]Город!C:E,3,0)</f>
        <v>Самара</v>
      </c>
      <c r="C66" t="s">
        <v>30</v>
      </c>
      <c r="D66" t="s">
        <v>12</v>
      </c>
      <c r="E66">
        <v>2591852</v>
      </c>
      <c r="F66" s="4" t="s">
        <v>66</v>
      </c>
      <c r="G66" t="s">
        <v>25</v>
      </c>
      <c r="H66" s="1">
        <v>67.209778367199959</v>
      </c>
      <c r="I66" s="1">
        <v>21</v>
      </c>
      <c r="J66" s="1">
        <v>4</v>
      </c>
      <c r="K66">
        <v>100</v>
      </c>
      <c r="L66" s="9">
        <v>99</v>
      </c>
      <c r="M66" s="1">
        <v>77</v>
      </c>
      <c r="N66" s="1">
        <v>82.200000000000031</v>
      </c>
      <c r="O66" s="1">
        <v>25.199999999999992</v>
      </c>
      <c r="P66" s="1">
        <v>7.5833333333333339</v>
      </c>
      <c r="Q66" s="1">
        <v>7.9793650793650794</v>
      </c>
    </row>
    <row r="67" spans="1:17">
      <c r="A67" s="6">
        <v>44197</v>
      </c>
      <c r="B67" s="6" t="str">
        <f>VLOOKUP(C67,[1]Город!C:E,3,0)</f>
        <v>Волгоград</v>
      </c>
      <c r="C67" t="s">
        <v>45</v>
      </c>
      <c r="D67" t="s">
        <v>10</v>
      </c>
      <c r="E67">
        <v>2591775</v>
      </c>
      <c r="F67" s="4" t="s">
        <v>74</v>
      </c>
      <c r="G67" t="s">
        <v>25</v>
      </c>
      <c r="H67" s="1">
        <v>142.764093089</v>
      </c>
      <c r="I67" s="1">
        <v>13</v>
      </c>
      <c r="J67" s="1">
        <v>0</v>
      </c>
      <c r="K67">
        <v>40</v>
      </c>
      <c r="L67" s="9">
        <v>13</v>
      </c>
      <c r="M67" s="1">
        <v>0</v>
      </c>
      <c r="N67" s="1">
        <v>352.6</v>
      </c>
      <c r="O67" s="1">
        <v>40.449999999999996</v>
      </c>
      <c r="P67" s="1">
        <v>7.3059523809523812</v>
      </c>
      <c r="Q67" s="1">
        <v>27.324358974358972</v>
      </c>
    </row>
    <row r="68" spans="1:17">
      <c r="A68" s="6">
        <v>44197</v>
      </c>
      <c r="B68" s="6" t="str">
        <f>VLOOKUP(C68,[1]Город!C:E,3,0)</f>
        <v>Омск</v>
      </c>
      <c r="C68" t="s">
        <v>35</v>
      </c>
      <c r="D68" t="s">
        <v>8</v>
      </c>
      <c r="E68">
        <v>2592408</v>
      </c>
      <c r="F68" s="4" t="s">
        <v>64</v>
      </c>
      <c r="G68" t="s">
        <v>25</v>
      </c>
      <c r="H68" s="1">
        <v>61.736001485900005</v>
      </c>
      <c r="I68" s="1">
        <v>26</v>
      </c>
      <c r="J68" s="1">
        <v>11</v>
      </c>
      <c r="K68">
        <v>66</v>
      </c>
      <c r="L68" s="9">
        <v>66</v>
      </c>
      <c r="M68" s="1">
        <v>47</v>
      </c>
      <c r="N68" s="1">
        <v>58.25</v>
      </c>
      <c r="P68" s="1">
        <v>4.6353333333333326</v>
      </c>
      <c r="Q68" s="1">
        <v>5.4625000000000012</v>
      </c>
    </row>
    <row r="69" spans="1:17">
      <c r="A69" s="6">
        <v>44197</v>
      </c>
      <c r="B69" s="6" t="str">
        <f>VLOOKUP(C69,[1]Город!C:E,3,0)</f>
        <v>Санкт-Петербург</v>
      </c>
      <c r="C69" t="s">
        <v>29</v>
      </c>
      <c r="D69" t="s">
        <v>10</v>
      </c>
      <c r="E69">
        <v>2591177</v>
      </c>
      <c r="F69" s="4" t="s">
        <v>64</v>
      </c>
      <c r="G69" t="s">
        <v>26</v>
      </c>
      <c r="H69" s="1">
        <v>203.26977513999998</v>
      </c>
      <c r="I69" s="1">
        <v>28</v>
      </c>
      <c r="J69" s="1">
        <v>3</v>
      </c>
      <c r="K69">
        <v>67</v>
      </c>
      <c r="L69" s="9">
        <v>66</v>
      </c>
      <c r="M69" s="1">
        <v>31</v>
      </c>
      <c r="N69" s="1">
        <v>86.550000000000011</v>
      </c>
      <c r="O69" s="1">
        <v>30.283333333333324</v>
      </c>
      <c r="P69" s="1">
        <v>1.0861111111111112</v>
      </c>
      <c r="Q69" s="1">
        <v>9.7793103448275858</v>
      </c>
    </row>
    <row r="70" spans="1:17">
      <c r="A70" s="6">
        <v>44197</v>
      </c>
      <c r="B70" s="6" t="str">
        <f>VLOOKUP(C70,[1]Город!C:E,3,0)</f>
        <v>Москва</v>
      </c>
      <c r="C70" t="s">
        <v>39</v>
      </c>
      <c r="D70" t="s">
        <v>10</v>
      </c>
      <c r="E70">
        <v>2590818</v>
      </c>
      <c r="F70" s="4" t="s">
        <v>62</v>
      </c>
      <c r="G70" t="s">
        <v>25</v>
      </c>
      <c r="H70" s="1">
        <v>98.779389097199967</v>
      </c>
      <c r="I70" s="1">
        <v>16</v>
      </c>
      <c r="J70" s="1">
        <v>0</v>
      </c>
      <c r="K70">
        <v>27</v>
      </c>
      <c r="L70" s="9">
        <v>24</v>
      </c>
      <c r="M70" s="1">
        <v>0</v>
      </c>
      <c r="N70" s="1">
        <v>76.716666666666683</v>
      </c>
      <c r="O70" s="1">
        <v>226.21666666666667</v>
      </c>
      <c r="P70" s="1">
        <v>8.3588888888888899</v>
      </c>
      <c r="Q70" s="1">
        <v>6.9964285714285719</v>
      </c>
    </row>
    <row r="71" spans="1:17">
      <c r="A71" s="6">
        <v>44197</v>
      </c>
      <c r="B71" s="6" t="str">
        <f>VLOOKUP(C71,[1]Город!C:E,3,0)</f>
        <v>Ульяновск</v>
      </c>
      <c r="C71" t="s">
        <v>40</v>
      </c>
      <c r="D71" t="s">
        <v>11</v>
      </c>
      <c r="E71">
        <v>2593125</v>
      </c>
      <c r="F71" s="4" t="s">
        <v>62</v>
      </c>
      <c r="G71" t="s">
        <v>25</v>
      </c>
      <c r="H71" s="1">
        <v>147.08099410000003</v>
      </c>
      <c r="I71" s="1">
        <v>19</v>
      </c>
      <c r="J71" s="1">
        <v>8</v>
      </c>
      <c r="K71">
        <v>131</v>
      </c>
      <c r="L71" s="9">
        <v>131</v>
      </c>
      <c r="M71" s="1">
        <v>115</v>
      </c>
      <c r="N71" s="1">
        <v>73.483333333333334</v>
      </c>
      <c r="O71" s="1">
        <v>23.25</v>
      </c>
      <c r="P71" s="1">
        <v>6.4953703703703702</v>
      </c>
      <c r="Q71" s="1">
        <v>4.3009259259259265</v>
      </c>
    </row>
    <row r="72" spans="1:17">
      <c r="A72" s="6">
        <v>44197</v>
      </c>
      <c r="B72" s="6" t="str">
        <f>VLOOKUP(C72,[1]Город!C:E,3,0)</f>
        <v>Москва</v>
      </c>
      <c r="C72" t="s">
        <v>39</v>
      </c>
      <c r="D72" t="s">
        <v>11</v>
      </c>
      <c r="E72">
        <v>2593047</v>
      </c>
      <c r="F72" s="4" t="s">
        <v>64</v>
      </c>
      <c r="G72" t="s">
        <v>26</v>
      </c>
      <c r="H72" s="1">
        <v>83.328009351800006</v>
      </c>
      <c r="I72" s="1">
        <v>17</v>
      </c>
      <c r="J72" s="1">
        <v>3</v>
      </c>
      <c r="K72">
        <v>66</v>
      </c>
      <c r="L72" s="9">
        <v>65</v>
      </c>
      <c r="M72" s="1">
        <v>42</v>
      </c>
      <c r="N72" s="1">
        <v>58.950000000000017</v>
      </c>
      <c r="O72" s="1">
        <v>53.649999999999984</v>
      </c>
      <c r="P72" s="1">
        <v>2.5518518518518523</v>
      </c>
      <c r="Q72" s="1">
        <v>12.996078431372549</v>
      </c>
    </row>
    <row r="73" spans="1:17">
      <c r="A73" s="6">
        <v>44197</v>
      </c>
      <c r="B73" s="6" t="str">
        <f>VLOOKUP(C73,[1]Город!C:E,3,0)</f>
        <v>Челябинск</v>
      </c>
      <c r="C73" t="s">
        <v>37</v>
      </c>
      <c r="D73" t="s">
        <v>12</v>
      </c>
      <c r="E73">
        <v>2590321</v>
      </c>
      <c r="F73" s="4" t="s">
        <v>75</v>
      </c>
      <c r="G73" t="s">
        <v>25</v>
      </c>
      <c r="H73" s="1">
        <v>173.67731246599999</v>
      </c>
      <c r="I73" s="1">
        <v>15</v>
      </c>
      <c r="J73" s="1">
        <v>0</v>
      </c>
      <c r="K73">
        <v>16</v>
      </c>
      <c r="L73" s="9">
        <v>15</v>
      </c>
      <c r="M73" s="1">
        <v>0</v>
      </c>
      <c r="N73" s="1">
        <v>182.25</v>
      </c>
      <c r="O73" s="1">
        <v>14.599999999999996</v>
      </c>
      <c r="P73" s="1">
        <v>6.6744444444444442</v>
      </c>
      <c r="Q73" s="1">
        <v>16.267857142857142</v>
      </c>
    </row>
    <row r="74" spans="1:17">
      <c r="A74" s="6">
        <v>44197</v>
      </c>
      <c r="B74" s="6" t="str">
        <f>VLOOKUP(C74,[1]Город!C:E,3,0)</f>
        <v>Хабаровск</v>
      </c>
      <c r="C74" t="s">
        <v>47</v>
      </c>
      <c r="D74" t="s">
        <v>12</v>
      </c>
      <c r="E74">
        <v>2592661</v>
      </c>
      <c r="F74" s="4" t="s">
        <v>64</v>
      </c>
      <c r="G74" t="s">
        <v>26</v>
      </c>
      <c r="H74" s="1">
        <v>119.22082747399998</v>
      </c>
      <c r="I74" s="1">
        <v>11</v>
      </c>
      <c r="J74" s="1">
        <v>3</v>
      </c>
      <c r="K74">
        <v>75</v>
      </c>
      <c r="L74" s="9">
        <v>73</v>
      </c>
      <c r="M74" s="1">
        <v>64</v>
      </c>
      <c r="N74" s="1">
        <v>51.8</v>
      </c>
      <c r="O74" s="1">
        <v>46.050000000000004</v>
      </c>
      <c r="P74" s="1">
        <v>6.3454545454545448</v>
      </c>
      <c r="Q74" s="1">
        <v>8.9633333333333329</v>
      </c>
    </row>
    <row r="75" spans="1:17">
      <c r="A75" s="6">
        <v>44197</v>
      </c>
      <c r="B75" s="6" t="str">
        <f>VLOOKUP(C75,[1]Город!C:E,3,0)</f>
        <v>Москва</v>
      </c>
      <c r="C75" t="s">
        <v>34</v>
      </c>
      <c r="D75" t="s">
        <v>13</v>
      </c>
      <c r="E75">
        <v>2592407</v>
      </c>
      <c r="F75" s="4" t="s">
        <v>68</v>
      </c>
      <c r="G75" t="s">
        <v>25</v>
      </c>
      <c r="H75" s="1">
        <v>116.655791655</v>
      </c>
      <c r="I75" s="1">
        <v>30</v>
      </c>
      <c r="J75" s="1">
        <v>5</v>
      </c>
      <c r="K75">
        <v>165</v>
      </c>
      <c r="L75" s="9">
        <v>161</v>
      </c>
      <c r="M75" s="1">
        <v>129</v>
      </c>
      <c r="N75" s="1">
        <v>89.38333333333334</v>
      </c>
      <c r="O75" s="1">
        <v>20.366666666666671</v>
      </c>
      <c r="P75" s="1">
        <v>4.9395833333333332</v>
      </c>
      <c r="Q75" s="1">
        <v>2.7844086021505374</v>
      </c>
    </row>
    <row r="76" spans="1:17">
      <c r="A76" s="6">
        <v>44197</v>
      </c>
      <c r="B76" s="6" t="str">
        <f>VLOOKUP(C76,[1]Город!C:E,3,0)</f>
        <v>Москва</v>
      </c>
      <c r="C76" t="s">
        <v>39</v>
      </c>
      <c r="D76" t="s">
        <v>9</v>
      </c>
      <c r="E76">
        <v>2592551</v>
      </c>
      <c r="F76" s="4" t="s">
        <v>66</v>
      </c>
      <c r="G76" t="s">
        <v>25</v>
      </c>
      <c r="H76" s="1">
        <v>169.99310376900002</v>
      </c>
      <c r="I76" s="1">
        <v>28</v>
      </c>
      <c r="J76" s="1">
        <v>11</v>
      </c>
      <c r="K76">
        <v>214</v>
      </c>
      <c r="L76" s="9">
        <v>212</v>
      </c>
      <c r="M76" s="1">
        <v>188</v>
      </c>
      <c r="N76" s="1">
        <v>195.81666666666663</v>
      </c>
      <c r="O76" s="1">
        <v>41.950000000000017</v>
      </c>
      <c r="P76" s="1">
        <v>6.1679012345679025</v>
      </c>
      <c r="Q76" s="1">
        <v>6.4429487179487177</v>
      </c>
    </row>
    <row r="77" spans="1:17">
      <c r="A77" s="6">
        <v>44197</v>
      </c>
      <c r="B77" s="6" t="str">
        <f>VLOOKUP(C77,[1]Город!C:E,3,0)</f>
        <v>Москва</v>
      </c>
      <c r="C77" t="s">
        <v>39</v>
      </c>
      <c r="D77" t="s">
        <v>13</v>
      </c>
      <c r="E77">
        <v>2590586</v>
      </c>
      <c r="F77" s="4" t="s">
        <v>76</v>
      </c>
      <c r="G77" t="s">
        <v>25</v>
      </c>
      <c r="H77" s="1">
        <v>399.38865821399997</v>
      </c>
      <c r="I77" s="1">
        <v>12</v>
      </c>
      <c r="J77" s="1">
        <v>0</v>
      </c>
      <c r="K77">
        <v>13</v>
      </c>
      <c r="L77" s="9">
        <v>13</v>
      </c>
      <c r="M77" s="1">
        <v>0</v>
      </c>
      <c r="N77" s="1">
        <v>96.283333333333317</v>
      </c>
      <c r="O77" s="1">
        <v>110.58333333333333</v>
      </c>
      <c r="P77" s="1">
        <v>9.6013888888888879</v>
      </c>
      <c r="Q77" s="1">
        <v>17.472727272727273</v>
      </c>
    </row>
    <row r="78" spans="1:17">
      <c r="A78" s="6">
        <v>44197</v>
      </c>
      <c r="B78" s="6" t="str">
        <f>VLOOKUP(C78,[1]Город!C:E,3,0)</f>
        <v>Владивосток</v>
      </c>
      <c r="C78" t="s">
        <v>48</v>
      </c>
      <c r="D78" t="s">
        <v>11</v>
      </c>
      <c r="E78">
        <v>2592861</v>
      </c>
      <c r="F78" s="4" t="s">
        <v>62</v>
      </c>
      <c r="G78" t="s">
        <v>25</v>
      </c>
      <c r="H78" s="1">
        <v>83.229155287099999</v>
      </c>
      <c r="I78" s="1">
        <v>28</v>
      </c>
      <c r="J78" s="1">
        <v>7</v>
      </c>
      <c r="K78">
        <v>168</v>
      </c>
      <c r="L78" s="9">
        <v>165</v>
      </c>
      <c r="M78" s="1">
        <v>134</v>
      </c>
      <c r="N78" s="1">
        <v>71.25</v>
      </c>
      <c r="P78" s="1">
        <v>4.9571428571428564</v>
      </c>
      <c r="Q78" s="1">
        <v>6.8975308641975328</v>
      </c>
    </row>
    <row r="79" spans="1:17">
      <c r="A79" s="6">
        <v>44197</v>
      </c>
      <c r="B79" s="6" t="str">
        <f>VLOOKUP(C79,[1]Город!C:E,3,0)</f>
        <v>Москва</v>
      </c>
      <c r="C79" t="s">
        <v>34</v>
      </c>
      <c r="D79" t="s">
        <v>10</v>
      </c>
      <c r="E79">
        <v>2592199</v>
      </c>
      <c r="F79" s="4" t="s">
        <v>75</v>
      </c>
      <c r="G79" t="s">
        <v>26</v>
      </c>
      <c r="H79" s="1">
        <v>91.175586694600028</v>
      </c>
      <c r="I79" s="1">
        <v>19</v>
      </c>
      <c r="J79" s="1">
        <v>1</v>
      </c>
      <c r="K79">
        <v>77</v>
      </c>
      <c r="L79" s="9">
        <v>77</v>
      </c>
      <c r="M79" s="1">
        <v>52</v>
      </c>
      <c r="N79" s="1">
        <v>58.633333333333354</v>
      </c>
      <c r="O79" s="1">
        <v>44.116666666666667</v>
      </c>
      <c r="P79" s="1">
        <v>4.5166666666666666</v>
      </c>
      <c r="Q79" s="1">
        <v>10.232539682539683</v>
      </c>
    </row>
    <row r="80" spans="1:17">
      <c r="A80" s="6">
        <v>44197</v>
      </c>
      <c r="B80" s="6" t="str">
        <f>VLOOKUP(C80,[1]Город!C:E,3,0)</f>
        <v>Волгоград</v>
      </c>
      <c r="C80" t="s">
        <v>45</v>
      </c>
      <c r="D80" t="s">
        <v>12</v>
      </c>
      <c r="E80">
        <v>2591685</v>
      </c>
      <c r="F80" s="4" t="s">
        <v>74</v>
      </c>
      <c r="G80" t="s">
        <v>25</v>
      </c>
      <c r="H80" s="1">
        <v>255.95193139699998</v>
      </c>
      <c r="I80" s="1">
        <v>15</v>
      </c>
      <c r="J80" s="1">
        <v>0</v>
      </c>
      <c r="K80">
        <v>19</v>
      </c>
      <c r="L80" s="9">
        <v>19</v>
      </c>
      <c r="M80" s="1">
        <v>0</v>
      </c>
      <c r="N80" s="1">
        <v>98.90000000000002</v>
      </c>
      <c r="O80" s="1">
        <v>106.33333333333331</v>
      </c>
      <c r="P80" s="1">
        <v>4.3500000000000005</v>
      </c>
      <c r="Q80" s="1">
        <v>9.0904761904761902</v>
      </c>
    </row>
    <row r="81" spans="1:17">
      <c r="A81" s="6">
        <v>44197</v>
      </c>
      <c r="B81" s="6" t="str">
        <f>VLOOKUP(C81,[1]Город!C:E,3,0)</f>
        <v>Санкт-Петербург</v>
      </c>
      <c r="C81" t="s">
        <v>29</v>
      </c>
      <c r="D81" t="s">
        <v>9</v>
      </c>
      <c r="E81">
        <v>2591493</v>
      </c>
      <c r="F81" s="4" t="s">
        <v>68</v>
      </c>
      <c r="G81" t="s">
        <v>26</v>
      </c>
      <c r="H81" s="1">
        <v>165.60756784499998</v>
      </c>
      <c r="I81" s="1">
        <v>24</v>
      </c>
      <c r="J81" s="1">
        <v>0</v>
      </c>
      <c r="K81">
        <v>28</v>
      </c>
      <c r="L81" s="9">
        <v>26</v>
      </c>
      <c r="M81" s="1">
        <v>0</v>
      </c>
      <c r="N81" s="1">
        <v>79.099999999999966</v>
      </c>
      <c r="O81" s="1">
        <v>36.566666666666691</v>
      </c>
      <c r="P81" s="1">
        <v>10.288666666666666</v>
      </c>
      <c r="Q81" s="1">
        <v>8.320666666666666</v>
      </c>
    </row>
    <row r="82" spans="1:17">
      <c r="A82" s="6">
        <v>44197</v>
      </c>
      <c r="B82" s="6" t="str">
        <f>VLOOKUP(C82,[1]Город!C:E,3,0)</f>
        <v>Новосибирск</v>
      </c>
      <c r="C82" t="s">
        <v>42</v>
      </c>
      <c r="D82" t="s">
        <v>17</v>
      </c>
      <c r="E82">
        <v>2593219</v>
      </c>
      <c r="F82" s="4" t="s">
        <v>66</v>
      </c>
      <c r="G82" t="s">
        <v>26</v>
      </c>
      <c r="H82" s="1">
        <v>67.761236434899999</v>
      </c>
      <c r="I82" s="1">
        <v>9</v>
      </c>
      <c r="J82" s="1">
        <v>2</v>
      </c>
      <c r="K82">
        <v>10</v>
      </c>
      <c r="L82" s="9">
        <v>10</v>
      </c>
      <c r="M82" s="1">
        <v>2</v>
      </c>
      <c r="N82" s="1">
        <v>22.133333333333329</v>
      </c>
      <c r="O82" s="1">
        <v>39.883333333333333</v>
      </c>
      <c r="P82" s="1">
        <v>12.403703703703705</v>
      </c>
      <c r="Q82" s="1">
        <v>10.310416666666667</v>
      </c>
    </row>
    <row r="83" spans="1:17">
      <c r="A83" s="6">
        <v>44197</v>
      </c>
      <c r="B83" s="6" t="str">
        <f>VLOOKUP(C83,[1]Город!C:E,3,0)</f>
        <v>Екатеринбург</v>
      </c>
      <c r="C83" t="s">
        <v>31</v>
      </c>
      <c r="D83" t="s">
        <v>9</v>
      </c>
      <c r="E83">
        <v>2590766</v>
      </c>
      <c r="F83" s="4" t="s">
        <v>63</v>
      </c>
      <c r="G83" t="s">
        <v>25</v>
      </c>
      <c r="H83" s="1">
        <v>125.16673292800002</v>
      </c>
      <c r="I83" s="1">
        <v>36</v>
      </c>
      <c r="J83" s="1">
        <v>2</v>
      </c>
      <c r="K83">
        <v>75</v>
      </c>
      <c r="L83" s="9">
        <v>73</v>
      </c>
      <c r="M83" s="1">
        <v>27</v>
      </c>
      <c r="N83" s="1">
        <v>52.349999999999966</v>
      </c>
      <c r="O83" s="1">
        <v>84.06666666666662</v>
      </c>
      <c r="P83" s="1">
        <v>3.4400900900900897</v>
      </c>
      <c r="Q83" s="1">
        <v>12.581018518518519</v>
      </c>
    </row>
    <row r="84" spans="1:17">
      <c r="A84" s="6">
        <v>44197</v>
      </c>
      <c r="B84" s="6" t="str">
        <f>VLOOKUP(C84,[1]Город!C:E,3,0)</f>
        <v>Москва</v>
      </c>
      <c r="C84" t="s">
        <v>34</v>
      </c>
      <c r="D84" t="s">
        <v>10</v>
      </c>
      <c r="E84">
        <v>2592286</v>
      </c>
      <c r="F84" s="4" t="s">
        <v>70</v>
      </c>
      <c r="G84" t="s">
        <v>25</v>
      </c>
      <c r="H84" s="1">
        <v>58.967805171699993</v>
      </c>
      <c r="I84" s="1">
        <v>18</v>
      </c>
      <c r="J84" s="1">
        <v>7</v>
      </c>
      <c r="K84">
        <v>195</v>
      </c>
      <c r="L84" s="9">
        <v>193</v>
      </c>
      <c r="M84" s="1">
        <v>176</v>
      </c>
      <c r="N84" s="1">
        <v>113.13333333333337</v>
      </c>
      <c r="O84" s="1">
        <v>46</v>
      </c>
      <c r="P84" s="1">
        <v>7.875</v>
      </c>
      <c r="Q84" s="1">
        <v>5.2921052631578949</v>
      </c>
    </row>
    <row r="85" spans="1:17">
      <c r="A85" s="6">
        <v>44197</v>
      </c>
      <c r="B85" s="6" t="str">
        <f>VLOOKUP(C85,[1]Город!C:E,3,0)</f>
        <v>Санкт-Петербург</v>
      </c>
      <c r="C85" t="s">
        <v>49</v>
      </c>
      <c r="D85" t="s">
        <v>9</v>
      </c>
      <c r="E85">
        <v>2593062</v>
      </c>
      <c r="F85" s="4" t="s">
        <v>64</v>
      </c>
      <c r="G85" t="s">
        <v>26</v>
      </c>
      <c r="H85" s="1">
        <v>295.63971578199994</v>
      </c>
      <c r="I85" s="1">
        <v>22</v>
      </c>
      <c r="J85" s="1">
        <v>5</v>
      </c>
      <c r="K85">
        <v>30</v>
      </c>
      <c r="L85" s="9">
        <v>30</v>
      </c>
      <c r="M85" s="1">
        <v>7</v>
      </c>
      <c r="N85" s="1">
        <v>55.28333333333331</v>
      </c>
      <c r="O85" s="1">
        <v>72.31666666666662</v>
      </c>
      <c r="P85" s="1">
        <v>5.0272727272727273</v>
      </c>
      <c r="Q85" s="1">
        <v>13.715079365079365</v>
      </c>
    </row>
    <row r="86" spans="1:17">
      <c r="A86" s="6">
        <v>44197</v>
      </c>
      <c r="B86" s="6" t="str">
        <f>VLOOKUP(C86,[1]Город!C:E,3,0)</f>
        <v>Московская область</v>
      </c>
      <c r="C86" t="s">
        <v>50</v>
      </c>
      <c r="D86" t="s">
        <v>11</v>
      </c>
      <c r="E86">
        <v>2588534</v>
      </c>
      <c r="F86" s="4" t="s">
        <v>61</v>
      </c>
      <c r="G86" t="s">
        <v>26</v>
      </c>
      <c r="H86" s="1">
        <v>55.718537463600015</v>
      </c>
      <c r="I86" s="1">
        <v>19</v>
      </c>
      <c r="J86" s="1">
        <v>0</v>
      </c>
      <c r="K86">
        <v>24</v>
      </c>
      <c r="L86" s="9">
        <v>23</v>
      </c>
      <c r="M86" s="1">
        <v>0</v>
      </c>
      <c r="N86" s="1">
        <v>87.066666666666634</v>
      </c>
      <c r="O86" s="1">
        <v>18.550000000000004</v>
      </c>
      <c r="P86" s="1">
        <v>13.201666666666664</v>
      </c>
      <c r="Q86" s="1">
        <v>15.014035087719298</v>
      </c>
    </row>
    <row r="87" spans="1:17">
      <c r="A87" s="6">
        <v>44197</v>
      </c>
      <c r="B87" s="6" t="str">
        <f>VLOOKUP(C87,[1]Город!C:E,3,0)</f>
        <v>Челябинск</v>
      </c>
      <c r="C87" t="s">
        <v>37</v>
      </c>
      <c r="D87" t="s">
        <v>9</v>
      </c>
      <c r="E87">
        <v>2590372</v>
      </c>
      <c r="F87" s="4" t="s">
        <v>66</v>
      </c>
      <c r="G87" t="s">
        <v>25</v>
      </c>
      <c r="H87" s="1">
        <v>88.272824053399972</v>
      </c>
      <c r="I87" s="1">
        <v>11</v>
      </c>
      <c r="J87" s="1">
        <v>4</v>
      </c>
      <c r="K87">
        <v>124</v>
      </c>
      <c r="L87" s="9">
        <v>123</v>
      </c>
      <c r="M87" s="1">
        <v>116</v>
      </c>
      <c r="N87" s="1">
        <v>100.36666666666666</v>
      </c>
      <c r="O87" s="1">
        <v>81.733333333333334</v>
      </c>
      <c r="P87" s="1">
        <v>4.0909090909090917</v>
      </c>
      <c r="Q87" s="1">
        <v>26.121666666666663</v>
      </c>
    </row>
    <row r="88" spans="1:17">
      <c r="A88" s="6">
        <v>44197</v>
      </c>
      <c r="B88" s="6" t="str">
        <f>VLOOKUP(C88,[1]Город!C:E,3,0)</f>
        <v>Новосибирск</v>
      </c>
      <c r="C88" t="s">
        <v>42</v>
      </c>
      <c r="D88" t="s">
        <v>10</v>
      </c>
      <c r="E88">
        <v>2590451</v>
      </c>
      <c r="F88" s="4" t="s">
        <v>69</v>
      </c>
      <c r="G88" t="s">
        <v>25</v>
      </c>
      <c r="H88" s="1">
        <v>95.132202392700009</v>
      </c>
      <c r="I88" s="1">
        <v>5</v>
      </c>
      <c r="J88" s="1">
        <v>5</v>
      </c>
      <c r="K88">
        <v>208</v>
      </c>
      <c r="L88" s="9">
        <v>207</v>
      </c>
      <c r="M88" s="1">
        <v>207</v>
      </c>
      <c r="N88" s="1">
        <v>90.766666666666666</v>
      </c>
      <c r="O88" s="1">
        <v>23.316666666666666</v>
      </c>
      <c r="P88" s="1">
        <v>21.273333333333333</v>
      </c>
      <c r="Q88" s="1">
        <v>3.6625000000000001</v>
      </c>
    </row>
    <row r="89" spans="1:17">
      <c r="A89" s="6">
        <v>44197</v>
      </c>
      <c r="B89" s="6" t="str">
        <f>VLOOKUP(C89,[1]Город!C:E,3,0)</f>
        <v>Самара</v>
      </c>
      <c r="C89" t="s">
        <v>30</v>
      </c>
      <c r="D89" t="s">
        <v>8</v>
      </c>
      <c r="E89">
        <v>2591843</v>
      </c>
      <c r="F89" s="4" t="s">
        <v>66</v>
      </c>
      <c r="G89" t="s">
        <v>25</v>
      </c>
      <c r="H89" s="1">
        <v>104.610359863</v>
      </c>
      <c r="I89" s="1">
        <v>25</v>
      </c>
      <c r="J89" s="1">
        <v>13</v>
      </c>
      <c r="K89">
        <v>170</v>
      </c>
      <c r="L89" s="9">
        <v>170</v>
      </c>
      <c r="M89" s="1">
        <v>151</v>
      </c>
      <c r="N89" s="1">
        <v>249.23333333333335</v>
      </c>
      <c r="O89" s="1">
        <v>26.75</v>
      </c>
      <c r="P89" s="1">
        <v>6.591333333333333</v>
      </c>
      <c r="Q89" s="1">
        <v>8.6055555555555561</v>
      </c>
    </row>
    <row r="90" spans="1:17">
      <c r="A90" s="6">
        <v>44197</v>
      </c>
      <c r="B90" s="6" t="str">
        <f>VLOOKUP(C90,[1]Город!C:E,3,0)</f>
        <v>Волгоград</v>
      </c>
      <c r="C90" t="s">
        <v>45</v>
      </c>
      <c r="D90" t="s">
        <v>12</v>
      </c>
      <c r="E90">
        <v>2591795</v>
      </c>
      <c r="F90" s="4" t="s">
        <v>74</v>
      </c>
      <c r="G90" t="s">
        <v>25</v>
      </c>
      <c r="H90" s="1">
        <v>192.599583333</v>
      </c>
      <c r="I90" s="1">
        <v>15</v>
      </c>
      <c r="J90" s="1">
        <v>0</v>
      </c>
      <c r="K90">
        <v>21</v>
      </c>
      <c r="L90" s="9">
        <v>19</v>
      </c>
      <c r="M90" s="1">
        <v>0</v>
      </c>
      <c r="N90" s="1">
        <v>120.04999999999997</v>
      </c>
      <c r="O90" s="1">
        <v>121.70000000000003</v>
      </c>
      <c r="P90" s="1">
        <v>2.0708333333333329</v>
      </c>
      <c r="Q90" s="1">
        <v>18.983333333333331</v>
      </c>
    </row>
    <row r="91" spans="1:17">
      <c r="A91" s="6">
        <v>44197</v>
      </c>
      <c r="B91" s="6" t="str">
        <f>VLOOKUP(C91,[1]Город!C:E,3,0)</f>
        <v>Санкт-Петербург</v>
      </c>
      <c r="C91" t="s">
        <v>29</v>
      </c>
      <c r="D91" t="s">
        <v>10</v>
      </c>
      <c r="E91">
        <v>2591383</v>
      </c>
      <c r="F91" s="4" t="s">
        <v>62</v>
      </c>
      <c r="G91" t="s">
        <v>25</v>
      </c>
      <c r="H91" s="1">
        <v>92.958968678800005</v>
      </c>
      <c r="I91" s="1">
        <v>42</v>
      </c>
      <c r="J91" s="1">
        <v>3</v>
      </c>
      <c r="K91">
        <v>168</v>
      </c>
      <c r="L91" s="9">
        <v>166</v>
      </c>
      <c r="M91" s="1">
        <v>107</v>
      </c>
      <c r="N91" s="1">
        <v>192.56666666666663</v>
      </c>
      <c r="O91" s="1">
        <v>93.766666666666765</v>
      </c>
      <c r="P91" s="1">
        <v>7.6150406504065051</v>
      </c>
      <c r="Q91" s="1">
        <v>6.1296747967479686</v>
      </c>
    </row>
    <row r="92" spans="1:17">
      <c r="A92" s="6">
        <v>44197</v>
      </c>
      <c r="B92" s="6" t="str">
        <f>VLOOKUP(C92,[1]Город!C:E,3,0)</f>
        <v>Санкт-Петербург</v>
      </c>
      <c r="C92" t="s">
        <v>29</v>
      </c>
      <c r="D92" t="s">
        <v>10</v>
      </c>
      <c r="E92">
        <v>2593687</v>
      </c>
      <c r="F92" s="4" t="s">
        <v>77</v>
      </c>
      <c r="G92" t="s">
        <v>25</v>
      </c>
      <c r="H92" s="1">
        <v>35.889369012899998</v>
      </c>
      <c r="I92" s="1">
        <v>15</v>
      </c>
      <c r="J92" s="1">
        <v>0</v>
      </c>
      <c r="K92">
        <v>16</v>
      </c>
      <c r="L92" s="9">
        <v>16</v>
      </c>
      <c r="M92" s="1">
        <v>0</v>
      </c>
      <c r="N92" s="1">
        <v>9.6166666666666707</v>
      </c>
      <c r="O92" s="1">
        <v>1.583333333333333</v>
      </c>
      <c r="P92" s="1">
        <v>7.3744444444444444</v>
      </c>
      <c r="Q92" s="1">
        <v>2.7738095238095233</v>
      </c>
    </row>
    <row r="93" spans="1:17">
      <c r="A93" s="6">
        <v>44197</v>
      </c>
      <c r="B93" s="6" t="str">
        <f>VLOOKUP(C93,[1]Город!C:E,3,0)</f>
        <v>Москва</v>
      </c>
      <c r="C93" t="s">
        <v>39</v>
      </c>
      <c r="D93" t="s">
        <v>10</v>
      </c>
      <c r="E93">
        <v>2590783</v>
      </c>
      <c r="F93" s="4" t="s">
        <v>62</v>
      </c>
      <c r="G93" t="s">
        <v>25</v>
      </c>
      <c r="H93" s="1">
        <v>59.910937469600007</v>
      </c>
      <c r="I93" s="1">
        <v>17</v>
      </c>
      <c r="J93" s="1">
        <v>4</v>
      </c>
      <c r="K93">
        <v>153</v>
      </c>
      <c r="L93" s="9">
        <v>152</v>
      </c>
      <c r="M93" s="1">
        <v>134</v>
      </c>
      <c r="N93" s="1">
        <v>96.416666666666686</v>
      </c>
      <c r="O93" s="1">
        <v>33.449999999999996</v>
      </c>
      <c r="P93" s="1">
        <v>4.8607843137254916</v>
      </c>
      <c r="Q93" s="1">
        <v>16.939583333333331</v>
      </c>
    </row>
    <row r="94" spans="1:17">
      <c r="A94" s="6">
        <v>44197</v>
      </c>
      <c r="B94" s="6" t="str">
        <f>VLOOKUP(C94,[1]Город!C:E,3,0)</f>
        <v>Челябинск</v>
      </c>
      <c r="C94" t="s">
        <v>37</v>
      </c>
      <c r="D94" t="s">
        <v>13</v>
      </c>
      <c r="E94">
        <v>2590350</v>
      </c>
      <c r="F94" s="4" t="s">
        <v>70</v>
      </c>
      <c r="G94" t="s">
        <v>25</v>
      </c>
      <c r="H94" s="1">
        <v>156.437230685</v>
      </c>
      <c r="I94" s="1">
        <v>24</v>
      </c>
      <c r="J94" s="1">
        <v>7</v>
      </c>
      <c r="K94">
        <v>212</v>
      </c>
      <c r="L94" s="9">
        <v>210</v>
      </c>
      <c r="M94" s="1">
        <v>185</v>
      </c>
      <c r="N94" s="1">
        <v>170.36666666666676</v>
      </c>
      <c r="O94" s="1">
        <v>121.65000000000006</v>
      </c>
      <c r="P94" s="1">
        <v>7.2807692307692315</v>
      </c>
      <c r="Q94" s="1">
        <v>12.543333333333335</v>
      </c>
    </row>
    <row r="95" spans="1:17">
      <c r="A95" s="6">
        <v>44197</v>
      </c>
      <c r="B95" s="6" t="str">
        <f>VLOOKUP(C95,[1]Город!C:E,3,0)</f>
        <v>Москва</v>
      </c>
      <c r="C95" t="s">
        <v>39</v>
      </c>
      <c r="D95" t="s">
        <v>10</v>
      </c>
      <c r="E95">
        <v>2590831</v>
      </c>
      <c r="F95" s="4" t="s">
        <v>62</v>
      </c>
      <c r="G95" t="s">
        <v>25</v>
      </c>
      <c r="H95" s="1">
        <v>143.73033766799998</v>
      </c>
      <c r="I95" s="1">
        <v>18</v>
      </c>
      <c r="J95" s="1">
        <v>0</v>
      </c>
      <c r="K95">
        <v>26</v>
      </c>
      <c r="L95" s="9">
        <v>23</v>
      </c>
      <c r="M95" s="1">
        <v>0</v>
      </c>
      <c r="N95" s="1">
        <v>27.850000000000012</v>
      </c>
      <c r="O95" s="1">
        <v>134.18333333333337</v>
      </c>
      <c r="P95" s="1">
        <v>6.1570175438596486</v>
      </c>
      <c r="Q95" s="1">
        <v>9.8759259259259267</v>
      </c>
    </row>
    <row r="96" spans="1:17">
      <c r="A96" s="6">
        <v>44197</v>
      </c>
      <c r="B96" s="6" t="str">
        <f>VLOOKUP(C96,[1]Город!C:E,3,0)</f>
        <v>Казань</v>
      </c>
      <c r="C96" t="s">
        <v>36</v>
      </c>
      <c r="D96" t="s">
        <v>13</v>
      </c>
      <c r="E96">
        <v>2591578</v>
      </c>
      <c r="F96" s="4" t="s">
        <v>70</v>
      </c>
      <c r="G96" t="s">
        <v>25</v>
      </c>
      <c r="H96" s="1">
        <v>66.185660674199994</v>
      </c>
      <c r="I96" s="1">
        <v>31</v>
      </c>
      <c r="J96" s="1">
        <v>5</v>
      </c>
      <c r="K96">
        <v>127</v>
      </c>
      <c r="L96" s="9">
        <v>126</v>
      </c>
      <c r="M96" s="1">
        <v>85</v>
      </c>
      <c r="N96" s="1">
        <v>114.21666666666668</v>
      </c>
      <c r="O96" s="1">
        <v>13.116666666666672</v>
      </c>
      <c r="P96" s="1">
        <v>4.8317708333333336</v>
      </c>
      <c r="Q96" s="1">
        <v>14.720967741935485</v>
      </c>
    </row>
    <row r="97" spans="1:17">
      <c r="A97" s="6">
        <v>44197</v>
      </c>
      <c r="B97" s="6" t="str">
        <f>VLOOKUP(C97,[1]Город!C:E,3,0)</f>
        <v>Владивосток</v>
      </c>
      <c r="C97" t="s">
        <v>48</v>
      </c>
      <c r="D97" t="s">
        <v>18</v>
      </c>
      <c r="E97">
        <v>2592859</v>
      </c>
      <c r="F97" s="4" t="s">
        <v>62</v>
      </c>
      <c r="G97" t="s">
        <v>25</v>
      </c>
      <c r="H97" s="1">
        <v>151.57208217199999</v>
      </c>
      <c r="I97" s="1">
        <v>20</v>
      </c>
      <c r="J97" s="1">
        <v>0</v>
      </c>
      <c r="K97">
        <v>27</v>
      </c>
      <c r="L97" s="9">
        <v>25</v>
      </c>
      <c r="M97" s="1">
        <v>0</v>
      </c>
      <c r="N97" s="1">
        <v>41.433333333333316</v>
      </c>
      <c r="O97" s="1">
        <v>61.200000000000024</v>
      </c>
      <c r="P97" s="1">
        <v>6.3183333333333334</v>
      </c>
      <c r="Q97" s="1">
        <v>16.870175438596494</v>
      </c>
    </row>
    <row r="98" spans="1:17">
      <c r="A98" s="6">
        <v>44197</v>
      </c>
      <c r="B98" s="6" t="str">
        <f>VLOOKUP(C98,[1]Город!C:E,3,0)</f>
        <v>Москва</v>
      </c>
      <c r="C98" t="s">
        <v>39</v>
      </c>
      <c r="D98" t="s">
        <v>8</v>
      </c>
      <c r="E98">
        <v>2593014</v>
      </c>
      <c r="F98" s="4" t="s">
        <v>64</v>
      </c>
      <c r="G98" t="s">
        <v>26</v>
      </c>
      <c r="H98" s="1">
        <v>189.61981818500001</v>
      </c>
      <c r="I98" s="1">
        <v>18</v>
      </c>
      <c r="J98" s="1">
        <v>3</v>
      </c>
      <c r="K98">
        <v>108</v>
      </c>
      <c r="L98" s="9">
        <v>106</v>
      </c>
      <c r="M98" s="1">
        <v>87</v>
      </c>
      <c r="N98" s="1">
        <v>78.366666666666632</v>
      </c>
      <c r="O98" s="1">
        <v>104.38333333333338</v>
      </c>
      <c r="P98" s="1">
        <v>11.792592592592591</v>
      </c>
      <c r="Q98" s="1">
        <v>10.638235294117646</v>
      </c>
    </row>
    <row r="99" spans="1:17">
      <c r="A99" s="6">
        <v>44197</v>
      </c>
      <c r="B99" s="6" t="str">
        <f>VLOOKUP(C99,[1]Город!C:E,3,0)</f>
        <v>Екатеринбург</v>
      </c>
      <c r="C99" t="s">
        <v>31</v>
      </c>
      <c r="D99" t="s">
        <v>19</v>
      </c>
      <c r="E99">
        <v>2590787</v>
      </c>
      <c r="F99" s="4" t="s">
        <v>63</v>
      </c>
      <c r="G99" t="s">
        <v>26</v>
      </c>
      <c r="H99" s="1">
        <v>123.66431312900002</v>
      </c>
      <c r="I99" s="1">
        <v>15</v>
      </c>
      <c r="J99" s="1">
        <v>5</v>
      </c>
      <c r="K99">
        <v>63</v>
      </c>
      <c r="L99" s="9">
        <v>57</v>
      </c>
      <c r="M99" s="1">
        <v>39</v>
      </c>
      <c r="N99" s="1">
        <v>89.733333333333334</v>
      </c>
      <c r="O99" s="1">
        <v>16.916666666666668</v>
      </c>
      <c r="P99" s="1">
        <v>4.9009259259259261</v>
      </c>
      <c r="Q99" s="1">
        <v>6.821568627450981</v>
      </c>
    </row>
    <row r="100" spans="1:17">
      <c r="A100" s="6">
        <v>44197</v>
      </c>
      <c r="B100" s="6" t="str">
        <f>VLOOKUP(C100,[1]Город!C:E,3,0)</f>
        <v>Казань</v>
      </c>
      <c r="C100" t="s">
        <v>36</v>
      </c>
      <c r="D100" t="s">
        <v>10</v>
      </c>
      <c r="E100">
        <v>2591311</v>
      </c>
      <c r="F100" s="4" t="s">
        <v>65</v>
      </c>
      <c r="G100" t="s">
        <v>25</v>
      </c>
      <c r="H100" s="1">
        <v>93.52077932929997</v>
      </c>
      <c r="I100" s="1">
        <v>25</v>
      </c>
      <c r="J100" s="1">
        <v>4</v>
      </c>
      <c r="K100">
        <v>186</v>
      </c>
      <c r="L100" s="9">
        <v>179</v>
      </c>
      <c r="M100" s="1">
        <v>146</v>
      </c>
      <c r="N100" s="1">
        <v>136.88333333333324</v>
      </c>
      <c r="O100" s="1">
        <v>73.450000000000031</v>
      </c>
      <c r="P100" s="1">
        <v>15.273214285714285</v>
      </c>
      <c r="Q100" s="1">
        <v>2.7722222222222217</v>
      </c>
    </row>
    <row r="101" spans="1:17">
      <c r="A101" s="6">
        <v>44197</v>
      </c>
      <c r="B101" s="6" t="str">
        <f>VLOOKUP(C101,[1]Город!C:E,3,0)</f>
        <v>Екатеринбург</v>
      </c>
      <c r="C101" t="s">
        <v>31</v>
      </c>
      <c r="D101" t="s">
        <v>13</v>
      </c>
      <c r="E101">
        <v>2591597</v>
      </c>
      <c r="F101" s="4" t="s">
        <v>64</v>
      </c>
      <c r="G101" t="s">
        <v>25</v>
      </c>
      <c r="H101" s="1">
        <v>155.43903868800001</v>
      </c>
      <c r="I101" s="1">
        <v>29</v>
      </c>
      <c r="J101" s="1">
        <v>1</v>
      </c>
      <c r="K101">
        <v>87</v>
      </c>
      <c r="L101" s="9">
        <v>85</v>
      </c>
      <c r="M101" s="1">
        <v>18</v>
      </c>
      <c r="N101" s="1">
        <v>51.25</v>
      </c>
      <c r="O101" s="1">
        <v>91.116666666666688</v>
      </c>
      <c r="P101" s="1">
        <v>5.1694444444444452</v>
      </c>
      <c r="Q101" s="1">
        <v>5.2879432624113472</v>
      </c>
    </row>
    <row r="102" spans="1:17">
      <c r="A102" s="6">
        <v>44197</v>
      </c>
      <c r="B102" s="6" t="str">
        <f>VLOOKUP(C102,[1]Город!C:E,3,0)</f>
        <v>Челябинск</v>
      </c>
      <c r="C102" t="s">
        <v>37</v>
      </c>
      <c r="D102" t="s">
        <v>13</v>
      </c>
      <c r="E102">
        <v>2590358</v>
      </c>
      <c r="F102" s="4" t="s">
        <v>66</v>
      </c>
      <c r="G102" t="s">
        <v>25</v>
      </c>
      <c r="H102" s="1">
        <v>78.170566720200014</v>
      </c>
      <c r="I102" s="1">
        <v>30</v>
      </c>
      <c r="J102" s="1">
        <v>4</v>
      </c>
      <c r="K102">
        <v>120</v>
      </c>
      <c r="L102" s="9">
        <v>118</v>
      </c>
      <c r="M102" s="1">
        <v>85</v>
      </c>
      <c r="N102" s="1">
        <v>182.36666666666676</v>
      </c>
      <c r="O102" s="1">
        <v>50.53333333333331</v>
      </c>
      <c r="P102" s="1">
        <v>4.4994047619047626</v>
      </c>
      <c r="Q102" s="1">
        <v>3.6259259259259262</v>
      </c>
    </row>
    <row r="103" spans="1:17">
      <c r="A103" s="6">
        <v>44197</v>
      </c>
      <c r="B103" s="6" t="str">
        <f>VLOOKUP(C103,[1]Город!C:E,3,0)</f>
        <v>Владивосток</v>
      </c>
      <c r="C103" t="s">
        <v>48</v>
      </c>
      <c r="D103" t="s">
        <v>9</v>
      </c>
      <c r="E103">
        <v>2592954</v>
      </c>
      <c r="F103" s="4" t="s">
        <v>62</v>
      </c>
      <c r="G103" t="s">
        <v>25</v>
      </c>
      <c r="H103" s="1">
        <v>71.273763558000027</v>
      </c>
      <c r="I103" s="1">
        <v>22</v>
      </c>
      <c r="J103" s="1">
        <v>7</v>
      </c>
      <c r="K103">
        <v>114</v>
      </c>
      <c r="L103" s="9">
        <v>112</v>
      </c>
      <c r="M103" s="1">
        <v>85</v>
      </c>
      <c r="N103" s="1">
        <v>63.516666666666659</v>
      </c>
      <c r="O103" s="1">
        <v>32.03333333333331</v>
      </c>
      <c r="P103" s="1">
        <v>6.5985507246376818</v>
      </c>
      <c r="Q103" s="1">
        <v>7.1439393939393945</v>
      </c>
    </row>
    <row r="104" spans="1:17">
      <c r="A104" s="6">
        <v>44197</v>
      </c>
      <c r="B104" s="6" t="str">
        <f>VLOOKUP(C104,[1]Город!C:E,3,0)</f>
        <v>Москва</v>
      </c>
      <c r="C104" t="s">
        <v>39</v>
      </c>
      <c r="D104" t="s">
        <v>8</v>
      </c>
      <c r="E104">
        <v>2592566</v>
      </c>
      <c r="F104" s="4" t="s">
        <v>62</v>
      </c>
      <c r="G104" t="s">
        <v>25</v>
      </c>
      <c r="H104" s="1">
        <v>83.629654868100019</v>
      </c>
      <c r="I104" s="1">
        <v>21</v>
      </c>
      <c r="J104" s="1">
        <v>5</v>
      </c>
      <c r="K104">
        <v>210</v>
      </c>
      <c r="L104" s="9">
        <v>207</v>
      </c>
      <c r="M104" s="1">
        <v>190</v>
      </c>
      <c r="N104" s="1">
        <v>108.01666666666668</v>
      </c>
      <c r="O104" s="1">
        <v>47.33333333333335</v>
      </c>
      <c r="P104" s="1">
        <v>8.7566666666666659</v>
      </c>
      <c r="Q104" s="1">
        <v>19.289473684210527</v>
      </c>
    </row>
    <row r="105" spans="1:17">
      <c r="A105" s="6">
        <v>44197</v>
      </c>
      <c r="B105" s="6" t="str">
        <f>VLOOKUP(C105,[1]Город!C:E,3,0)</f>
        <v>Казань</v>
      </c>
      <c r="C105" t="s">
        <v>36</v>
      </c>
      <c r="D105" t="s">
        <v>12</v>
      </c>
      <c r="E105">
        <v>2591068</v>
      </c>
      <c r="F105" s="4" t="s">
        <v>70</v>
      </c>
      <c r="G105" t="s">
        <v>25</v>
      </c>
      <c r="H105" s="1">
        <v>120.10604961199999</v>
      </c>
      <c r="I105" s="1">
        <v>25</v>
      </c>
      <c r="J105" s="1">
        <v>3</v>
      </c>
      <c r="K105">
        <v>89</v>
      </c>
      <c r="L105" s="9">
        <v>88</v>
      </c>
      <c r="M105" s="1">
        <v>63</v>
      </c>
      <c r="N105" s="1">
        <v>74.3333333333333</v>
      </c>
      <c r="O105" s="1">
        <v>55.43333333333333</v>
      </c>
      <c r="P105" s="1">
        <v>2.5208333333333335</v>
      </c>
      <c r="Q105" s="1">
        <v>21.86376811594203</v>
      </c>
    </row>
    <row r="106" spans="1:17">
      <c r="A106" s="6">
        <v>44197</v>
      </c>
      <c r="B106" s="6" t="str">
        <f>VLOOKUP(C106,[1]Город!C:E,3,0)</f>
        <v>Москва</v>
      </c>
      <c r="C106" t="s">
        <v>39</v>
      </c>
      <c r="D106" t="s">
        <v>8</v>
      </c>
      <c r="E106">
        <v>2593070</v>
      </c>
      <c r="F106" s="4" t="s">
        <v>64</v>
      </c>
      <c r="G106" t="s">
        <v>26</v>
      </c>
      <c r="H106" s="1">
        <v>186.04173783200002</v>
      </c>
      <c r="I106" s="1">
        <v>22</v>
      </c>
      <c r="J106" s="1">
        <v>2</v>
      </c>
      <c r="K106">
        <v>51</v>
      </c>
      <c r="L106" s="9">
        <v>49</v>
      </c>
      <c r="M106" s="1">
        <v>16</v>
      </c>
      <c r="N106" s="1">
        <v>74.8333333333333</v>
      </c>
      <c r="O106" s="1">
        <v>57.333333333333321</v>
      </c>
      <c r="P106" s="1">
        <v>6.0305555555555559</v>
      </c>
      <c r="Q106" s="1">
        <v>9.7108695652173918</v>
      </c>
    </row>
    <row r="107" spans="1:17">
      <c r="A107" s="6">
        <v>44197</v>
      </c>
      <c r="B107" s="6" t="str">
        <f>VLOOKUP(C107,[1]Город!C:E,3,0)</f>
        <v>Челябинск</v>
      </c>
      <c r="C107" t="s">
        <v>37</v>
      </c>
      <c r="D107" t="s">
        <v>8</v>
      </c>
      <c r="E107">
        <v>2590369</v>
      </c>
      <c r="F107" s="4" t="s">
        <v>70</v>
      </c>
      <c r="G107" t="s">
        <v>26</v>
      </c>
      <c r="H107" s="1">
        <v>307.30860582900004</v>
      </c>
      <c r="I107" s="1">
        <v>25</v>
      </c>
      <c r="J107" s="1">
        <v>15</v>
      </c>
      <c r="K107">
        <v>171</v>
      </c>
      <c r="L107" s="9">
        <v>163</v>
      </c>
      <c r="M107" s="1">
        <v>148</v>
      </c>
      <c r="N107" s="1">
        <v>113.63333333333334</v>
      </c>
      <c r="O107" s="1">
        <v>150.75</v>
      </c>
      <c r="P107" s="1">
        <v>9.2750000000000021</v>
      </c>
      <c r="Q107" s="1">
        <v>7.9553333333333338</v>
      </c>
    </row>
    <row r="108" spans="1:17">
      <c r="A108" s="6">
        <v>44197</v>
      </c>
      <c r="B108" s="6" t="str">
        <f>VLOOKUP(C108,[1]Город!C:E,3,0)</f>
        <v>Ульяновск</v>
      </c>
      <c r="C108" t="s">
        <v>40</v>
      </c>
      <c r="D108" t="s">
        <v>9</v>
      </c>
      <c r="E108">
        <v>2593160</v>
      </c>
      <c r="F108" s="4" t="s">
        <v>66</v>
      </c>
      <c r="G108" t="s">
        <v>26</v>
      </c>
      <c r="H108" s="1">
        <v>60.021887246799984</v>
      </c>
      <c r="I108" s="1">
        <v>11</v>
      </c>
      <c r="J108" s="1">
        <v>1</v>
      </c>
      <c r="K108">
        <v>78</v>
      </c>
      <c r="L108" s="9">
        <v>77</v>
      </c>
      <c r="M108" s="1">
        <v>65</v>
      </c>
      <c r="N108" s="1">
        <v>106.36666666666663</v>
      </c>
      <c r="P108" s="1">
        <v>23.954166666666666</v>
      </c>
      <c r="Q108" s="1">
        <v>12.640909090909092</v>
      </c>
    </row>
    <row r="109" spans="1:17">
      <c r="A109" s="6">
        <v>44197</v>
      </c>
      <c r="B109" s="6" t="str">
        <f>VLOOKUP(C109,[1]Город!C:E,3,0)</f>
        <v>Волгоград</v>
      </c>
      <c r="C109" t="s">
        <v>45</v>
      </c>
      <c r="D109" t="s">
        <v>12</v>
      </c>
      <c r="E109">
        <v>2591768</v>
      </c>
      <c r="F109" s="4" t="s">
        <v>62</v>
      </c>
      <c r="G109" t="s">
        <v>25</v>
      </c>
      <c r="H109" s="1">
        <v>138.96223975200002</v>
      </c>
      <c r="I109" s="1">
        <v>18</v>
      </c>
      <c r="J109" s="1">
        <v>0</v>
      </c>
      <c r="K109">
        <v>24</v>
      </c>
      <c r="L109" s="9">
        <v>18</v>
      </c>
      <c r="M109" s="1">
        <v>0</v>
      </c>
      <c r="N109" s="1">
        <v>170.75</v>
      </c>
      <c r="O109" s="1">
        <v>105.48333333333333</v>
      </c>
      <c r="P109" s="1">
        <v>9.7759259259259252</v>
      </c>
      <c r="Q109" s="1">
        <v>18.099999999999998</v>
      </c>
    </row>
    <row r="110" spans="1:17">
      <c r="A110" s="6">
        <v>44197</v>
      </c>
      <c r="B110" s="6" t="str">
        <f>VLOOKUP(C110,[1]Город!C:E,3,0)</f>
        <v>Санкт-Петербург</v>
      </c>
      <c r="C110" t="s">
        <v>29</v>
      </c>
      <c r="D110" t="s">
        <v>10</v>
      </c>
      <c r="E110">
        <v>2591115</v>
      </c>
      <c r="F110" s="4" t="s">
        <v>66</v>
      </c>
      <c r="G110" t="s">
        <v>25</v>
      </c>
      <c r="H110" s="1">
        <v>72.094309959499995</v>
      </c>
      <c r="I110" s="1">
        <v>36</v>
      </c>
      <c r="J110" s="1">
        <v>9</v>
      </c>
      <c r="K110">
        <v>190</v>
      </c>
      <c r="L110" s="9">
        <v>186</v>
      </c>
      <c r="M110" s="1">
        <v>151</v>
      </c>
      <c r="N110" s="1">
        <v>126.10000000000001</v>
      </c>
      <c r="O110" s="1">
        <v>236.05000000000004</v>
      </c>
      <c r="P110" s="1">
        <v>1.7614035087719302</v>
      </c>
      <c r="Q110" s="1">
        <v>9.9252252252252262</v>
      </c>
    </row>
    <row r="111" spans="1:17">
      <c r="A111" s="6">
        <v>44197</v>
      </c>
      <c r="B111" s="6" t="str">
        <f>VLOOKUP(C111,[1]Город!C:E,3,0)</f>
        <v>Ижевск</v>
      </c>
      <c r="C111" t="s">
        <v>51</v>
      </c>
      <c r="D111" t="s">
        <v>9</v>
      </c>
      <c r="E111">
        <v>2592822</v>
      </c>
      <c r="F111" s="4" t="s">
        <v>70</v>
      </c>
      <c r="G111" t="s">
        <v>26</v>
      </c>
      <c r="H111" s="1">
        <v>68.260523221599996</v>
      </c>
      <c r="I111" s="1">
        <v>19</v>
      </c>
      <c r="J111" s="1">
        <v>12</v>
      </c>
      <c r="K111">
        <v>152</v>
      </c>
      <c r="L111" s="9">
        <v>152</v>
      </c>
      <c r="M111" s="1">
        <v>141</v>
      </c>
      <c r="N111" s="1">
        <v>90.150000000000034</v>
      </c>
      <c r="O111" s="1">
        <v>46.799999999999983</v>
      </c>
      <c r="P111" s="1">
        <v>3.5736842105263151</v>
      </c>
      <c r="Q111" s="1">
        <v>10.658333333333333</v>
      </c>
    </row>
    <row r="112" spans="1:17">
      <c r="A112" s="6">
        <v>44197</v>
      </c>
      <c r="B112" s="6" t="str">
        <f>VLOOKUP(C112,[1]Город!C:E,3,0)</f>
        <v>Красноярск</v>
      </c>
      <c r="C112" t="s">
        <v>44</v>
      </c>
      <c r="D112" t="s">
        <v>12</v>
      </c>
      <c r="E112">
        <v>2592748</v>
      </c>
      <c r="F112" s="4" t="s">
        <v>62</v>
      </c>
      <c r="G112" t="s">
        <v>26</v>
      </c>
      <c r="H112" s="1">
        <v>84.317541251099982</v>
      </c>
      <c r="I112" s="1">
        <v>12</v>
      </c>
      <c r="J112" s="1">
        <v>8</v>
      </c>
      <c r="K112">
        <v>221</v>
      </c>
      <c r="L112" s="9">
        <v>219</v>
      </c>
      <c r="M112" s="1">
        <v>215</v>
      </c>
      <c r="N112" s="1">
        <v>128.95000000000002</v>
      </c>
      <c r="O112" s="1">
        <v>61.70000000000001</v>
      </c>
      <c r="P112" s="1">
        <v>6.9858974358974368</v>
      </c>
      <c r="Q112" s="1">
        <v>24.772222222222222</v>
      </c>
    </row>
    <row r="113" spans="1:17">
      <c r="A113" s="6">
        <v>44197</v>
      </c>
      <c r="B113" s="6" t="str">
        <f>VLOOKUP(C113,[1]Город!C:E,3,0)</f>
        <v>Москва</v>
      </c>
      <c r="C113" t="s">
        <v>39</v>
      </c>
      <c r="D113" t="s">
        <v>16</v>
      </c>
      <c r="E113">
        <v>2592517</v>
      </c>
      <c r="F113" s="4" t="s">
        <v>66</v>
      </c>
      <c r="G113" t="s">
        <v>25</v>
      </c>
      <c r="H113" s="1">
        <v>159.12018093400005</v>
      </c>
      <c r="I113" s="1">
        <v>16</v>
      </c>
      <c r="J113" s="1">
        <v>0</v>
      </c>
      <c r="K113">
        <v>19</v>
      </c>
      <c r="L113" s="9">
        <v>19</v>
      </c>
      <c r="M113" s="1">
        <v>0</v>
      </c>
      <c r="N113" s="1">
        <v>79.766666666666666</v>
      </c>
      <c r="P113" s="1">
        <v>4.9866666666666664</v>
      </c>
      <c r="Q113" s="1">
        <v>19.532142857142862</v>
      </c>
    </row>
    <row r="114" spans="1:17">
      <c r="A114" s="6">
        <v>44197</v>
      </c>
      <c r="B114" s="6" t="str">
        <f>VLOOKUP(C114,[1]Город!C:E,3,0)</f>
        <v>Московская область</v>
      </c>
      <c r="C114" t="s">
        <v>52</v>
      </c>
      <c r="D114" t="s">
        <v>12</v>
      </c>
      <c r="E114">
        <v>2591124</v>
      </c>
      <c r="F114" s="4" t="s">
        <v>64</v>
      </c>
      <c r="G114" t="s">
        <v>25</v>
      </c>
      <c r="H114" s="1">
        <v>125.75884257300005</v>
      </c>
      <c r="I114" s="1">
        <v>27</v>
      </c>
      <c r="J114" s="1">
        <v>5</v>
      </c>
      <c r="K114">
        <v>140</v>
      </c>
      <c r="L114" s="9">
        <v>139</v>
      </c>
      <c r="M114" s="1">
        <v>107</v>
      </c>
      <c r="N114" s="1">
        <v>149.06666666666663</v>
      </c>
      <c r="O114" s="1">
        <v>216.13333333333324</v>
      </c>
      <c r="P114" s="1">
        <v>8.5874999999999968</v>
      </c>
      <c r="Q114" s="1">
        <v>5.9833333333333325</v>
      </c>
    </row>
    <row r="115" spans="1:17">
      <c r="A115" s="6">
        <v>44197</v>
      </c>
      <c r="B115" s="6" t="str">
        <f>VLOOKUP(C115,[1]Город!C:E,3,0)</f>
        <v>Тольятти</v>
      </c>
      <c r="C115" t="s">
        <v>53</v>
      </c>
      <c r="D115" t="s">
        <v>11</v>
      </c>
      <c r="E115">
        <v>2588460</v>
      </c>
      <c r="F115" s="4" t="s">
        <v>70</v>
      </c>
      <c r="G115" t="s">
        <v>26</v>
      </c>
      <c r="H115" s="1">
        <v>99.489199588999981</v>
      </c>
      <c r="I115" s="1">
        <v>18</v>
      </c>
      <c r="J115" s="1">
        <v>6</v>
      </c>
      <c r="K115">
        <v>111</v>
      </c>
      <c r="L115" s="9">
        <v>109</v>
      </c>
      <c r="M115" s="1">
        <v>90</v>
      </c>
      <c r="N115" s="1">
        <v>58.066666666666691</v>
      </c>
      <c r="O115" s="1">
        <v>26.449999999999992</v>
      </c>
      <c r="P115" s="1">
        <v>2.7055555555555557</v>
      </c>
      <c r="Q115" s="1">
        <v>16.804901960784314</v>
      </c>
    </row>
    <row r="116" spans="1:17">
      <c r="A116" s="6">
        <v>44197</v>
      </c>
      <c r="B116" s="6" t="str">
        <f>VLOOKUP(C116,[1]Город!C:E,3,0)</f>
        <v>Хабаровск</v>
      </c>
      <c r="C116" t="s">
        <v>47</v>
      </c>
      <c r="D116" t="s">
        <v>12</v>
      </c>
      <c r="E116">
        <v>2592659</v>
      </c>
      <c r="F116" s="4" t="s">
        <v>64</v>
      </c>
      <c r="G116" t="s">
        <v>26</v>
      </c>
      <c r="H116" s="1">
        <v>152.51112383100005</v>
      </c>
      <c r="I116" s="1">
        <v>15</v>
      </c>
      <c r="J116" s="1">
        <v>6</v>
      </c>
      <c r="K116">
        <v>110</v>
      </c>
      <c r="L116" s="9">
        <v>107</v>
      </c>
      <c r="M116" s="1">
        <v>97</v>
      </c>
      <c r="N116" s="1">
        <v>74.233333333333334</v>
      </c>
      <c r="O116" s="1">
        <v>47.316666666666684</v>
      </c>
      <c r="P116" s="1">
        <v>5.1477777777777778</v>
      </c>
      <c r="Q116" s="1">
        <v>10.954761904761906</v>
      </c>
    </row>
    <row r="117" spans="1:17">
      <c r="A117" s="6">
        <v>44197</v>
      </c>
      <c r="B117" s="6" t="str">
        <f>VLOOKUP(C117,[1]Город!C:E,3,0)</f>
        <v>Махачкала</v>
      </c>
      <c r="C117" t="s">
        <v>54</v>
      </c>
      <c r="D117" t="s">
        <v>20</v>
      </c>
      <c r="E117">
        <v>2590363</v>
      </c>
      <c r="F117" s="4" t="s">
        <v>64</v>
      </c>
      <c r="G117" t="s">
        <v>26</v>
      </c>
      <c r="H117" s="1">
        <v>51.968606221499996</v>
      </c>
      <c r="I117" s="1">
        <v>24</v>
      </c>
      <c r="J117" s="1">
        <v>24</v>
      </c>
      <c r="K117">
        <v>332</v>
      </c>
      <c r="L117" s="9">
        <v>273</v>
      </c>
      <c r="M117" s="1">
        <v>273</v>
      </c>
      <c r="N117" s="1">
        <v>276.46666666666653</v>
      </c>
      <c r="P117" s="1">
        <v>4.8347222222222221</v>
      </c>
      <c r="Q117" s="1">
        <v>9.9036231884057973</v>
      </c>
    </row>
    <row r="118" spans="1:17">
      <c r="A118" s="6">
        <v>44197</v>
      </c>
      <c r="B118" s="6" t="str">
        <f>VLOOKUP(C118,[1]Город!C:E,3,0)</f>
        <v>Хабаровск</v>
      </c>
      <c r="C118" t="s">
        <v>47</v>
      </c>
      <c r="D118" t="s">
        <v>12</v>
      </c>
      <c r="E118">
        <v>2592676</v>
      </c>
      <c r="F118" s="4" t="s">
        <v>64</v>
      </c>
      <c r="G118" t="s">
        <v>26</v>
      </c>
      <c r="H118" s="1">
        <v>308.13477813999987</v>
      </c>
      <c r="I118" s="1">
        <v>14</v>
      </c>
      <c r="J118" s="1">
        <v>7</v>
      </c>
      <c r="K118">
        <v>44</v>
      </c>
      <c r="L118" s="9">
        <v>43</v>
      </c>
      <c r="M118" s="1">
        <v>36</v>
      </c>
      <c r="N118" s="1">
        <v>42.866666666666667</v>
      </c>
      <c r="O118" s="1">
        <v>141.84999999999997</v>
      </c>
      <c r="P118" s="1">
        <v>3.6369047619047619</v>
      </c>
      <c r="Q118" s="1">
        <v>24.996153846153849</v>
      </c>
    </row>
    <row r="119" spans="1:17">
      <c r="A119" s="6">
        <v>44197</v>
      </c>
      <c r="B119" s="6" t="str">
        <f>VLOOKUP(C119,[1]Город!C:E,3,0)</f>
        <v>Тольятти</v>
      </c>
      <c r="C119" t="s">
        <v>53</v>
      </c>
      <c r="D119" t="s">
        <v>9</v>
      </c>
      <c r="E119">
        <v>2592856</v>
      </c>
      <c r="F119" s="4" t="s">
        <v>70</v>
      </c>
      <c r="G119" t="s">
        <v>25</v>
      </c>
      <c r="H119" s="1">
        <v>331.44785676100008</v>
      </c>
      <c r="I119" s="1">
        <v>13</v>
      </c>
      <c r="J119" s="1">
        <v>0</v>
      </c>
      <c r="K119">
        <v>22</v>
      </c>
      <c r="L119" s="9">
        <v>21</v>
      </c>
      <c r="M119" s="1">
        <v>0</v>
      </c>
      <c r="N119" s="1">
        <v>28.399999999999995</v>
      </c>
      <c r="O119" s="1">
        <v>84.433333333333351</v>
      </c>
      <c r="P119" s="1">
        <v>8.4847222222222225</v>
      </c>
      <c r="Q119" s="1">
        <v>15.410606060606058</v>
      </c>
    </row>
    <row r="120" spans="1:17">
      <c r="A120" s="6">
        <v>44197</v>
      </c>
      <c r="B120" s="6" t="str">
        <f>VLOOKUP(C120,[1]Город!C:E,3,0)</f>
        <v>Москва</v>
      </c>
      <c r="C120" t="s">
        <v>39</v>
      </c>
      <c r="D120" t="s">
        <v>8</v>
      </c>
      <c r="E120">
        <v>2592618</v>
      </c>
      <c r="F120" s="4" t="s">
        <v>62</v>
      </c>
      <c r="G120" t="s">
        <v>25</v>
      </c>
      <c r="H120" s="1">
        <v>96.775017045499979</v>
      </c>
      <c r="I120" s="1">
        <v>15</v>
      </c>
      <c r="J120" s="1">
        <v>5</v>
      </c>
      <c r="K120">
        <v>210</v>
      </c>
      <c r="L120" s="9">
        <v>206</v>
      </c>
      <c r="M120" s="1">
        <v>190</v>
      </c>
      <c r="N120" s="1">
        <v>90.09999999999998</v>
      </c>
      <c r="O120" s="1">
        <v>58.03333333333331</v>
      </c>
      <c r="P120" s="1">
        <v>13.430208333333331</v>
      </c>
      <c r="Q120" s="1">
        <v>8.3011111111111102</v>
      </c>
    </row>
    <row r="121" spans="1:17">
      <c r="A121" s="6">
        <v>44197</v>
      </c>
      <c r="B121" s="6" t="str">
        <f>VLOOKUP(C121,[1]Город!C:E,3,0)</f>
        <v>Екатеринбург</v>
      </c>
      <c r="C121" t="s">
        <v>31</v>
      </c>
      <c r="D121" t="s">
        <v>10</v>
      </c>
      <c r="E121">
        <v>2590749</v>
      </c>
      <c r="F121" s="4" t="s">
        <v>63</v>
      </c>
      <c r="G121" t="s">
        <v>25</v>
      </c>
      <c r="H121" s="1">
        <v>188.84500113699994</v>
      </c>
      <c r="I121" s="1">
        <v>33</v>
      </c>
      <c r="J121" s="1">
        <v>7</v>
      </c>
      <c r="K121">
        <v>102</v>
      </c>
      <c r="L121" s="9">
        <v>102</v>
      </c>
      <c r="M121" s="1">
        <v>74</v>
      </c>
      <c r="N121" s="1">
        <v>63.066666666666649</v>
      </c>
      <c r="O121" s="1">
        <v>85.633333333333326</v>
      </c>
      <c r="P121" s="1">
        <v>7.1102941176470589</v>
      </c>
      <c r="Q121" s="1">
        <v>3.911111111111111</v>
      </c>
    </row>
    <row r="122" spans="1:17">
      <c r="A122" s="6">
        <v>44197</v>
      </c>
      <c r="B122" s="6" t="str">
        <f>VLOOKUP(C122,[1]Город!C:E,3,0)</f>
        <v>Москва</v>
      </c>
      <c r="C122" t="s">
        <v>39</v>
      </c>
      <c r="D122" t="s">
        <v>12</v>
      </c>
      <c r="E122">
        <v>2592468</v>
      </c>
      <c r="F122" s="4" t="s">
        <v>62</v>
      </c>
      <c r="G122" t="s">
        <v>25</v>
      </c>
      <c r="H122" s="1">
        <v>80.601953603799998</v>
      </c>
      <c r="I122" s="1">
        <v>9</v>
      </c>
      <c r="J122" s="1">
        <v>5</v>
      </c>
      <c r="K122">
        <v>115</v>
      </c>
      <c r="L122" s="9">
        <v>115</v>
      </c>
      <c r="M122" s="1">
        <v>111</v>
      </c>
      <c r="N122" s="1">
        <v>85.549999999999983</v>
      </c>
      <c r="O122" s="1">
        <v>70.766666666666666</v>
      </c>
      <c r="P122" s="1">
        <v>10.735185185185184</v>
      </c>
      <c r="Q122" s="1">
        <v>14.429166666666669</v>
      </c>
    </row>
    <row r="123" spans="1:17">
      <c r="A123" s="6">
        <v>44197</v>
      </c>
      <c r="B123" s="6" t="str">
        <f>VLOOKUP(C123,[1]Город!C:E,3,0)</f>
        <v>Москва</v>
      </c>
      <c r="C123" t="s">
        <v>39</v>
      </c>
      <c r="D123" t="s">
        <v>13</v>
      </c>
      <c r="E123">
        <v>2592521</v>
      </c>
      <c r="F123" s="4" t="s">
        <v>62</v>
      </c>
      <c r="G123" t="s">
        <v>25</v>
      </c>
      <c r="H123" s="1">
        <v>124.63475574399997</v>
      </c>
      <c r="I123" s="1">
        <v>13</v>
      </c>
      <c r="J123" s="1">
        <v>0</v>
      </c>
      <c r="K123">
        <v>29</v>
      </c>
      <c r="L123" s="9">
        <v>28</v>
      </c>
      <c r="M123" s="1">
        <v>0</v>
      </c>
      <c r="N123" s="1">
        <v>43.233333333333341</v>
      </c>
      <c r="O123" s="1">
        <v>77.299999999999983</v>
      </c>
      <c r="P123" s="1">
        <v>3.5047619047619052</v>
      </c>
      <c r="Q123" s="1">
        <v>20.716666666666665</v>
      </c>
    </row>
    <row r="124" spans="1:17">
      <c r="A124" s="6">
        <v>44197</v>
      </c>
      <c r="B124" s="6" t="str">
        <f>VLOOKUP(C124,[1]Город!C:E,3,0)</f>
        <v>Ижевск</v>
      </c>
      <c r="C124" t="s">
        <v>51</v>
      </c>
      <c r="D124" t="s">
        <v>12</v>
      </c>
      <c r="E124">
        <v>2592841</v>
      </c>
      <c r="F124" s="4" t="s">
        <v>70</v>
      </c>
      <c r="G124" t="s">
        <v>25</v>
      </c>
      <c r="H124" s="1">
        <v>324.21376990899995</v>
      </c>
      <c r="I124" s="1">
        <v>31</v>
      </c>
      <c r="J124" s="1">
        <v>18</v>
      </c>
      <c r="K124">
        <v>211</v>
      </c>
      <c r="L124" s="9">
        <v>210</v>
      </c>
      <c r="M124" s="1">
        <v>192</v>
      </c>
      <c r="N124" s="1">
        <v>59.900000000000034</v>
      </c>
      <c r="O124" s="1">
        <v>157.33333333333334</v>
      </c>
      <c r="P124" s="1">
        <v>8.6989583333333336</v>
      </c>
      <c r="Q124" s="1">
        <v>5.2607526881720439</v>
      </c>
    </row>
    <row r="125" spans="1:17">
      <c r="A125" s="6">
        <v>44197</v>
      </c>
      <c r="B125" s="6" t="str">
        <f>VLOOKUP(C125,[1]Город!C:E,3,0)</f>
        <v>Нижний Новгород</v>
      </c>
      <c r="C125" t="s">
        <v>33</v>
      </c>
      <c r="D125" t="s">
        <v>9</v>
      </c>
      <c r="E125">
        <v>2591276</v>
      </c>
      <c r="F125" s="4" t="s">
        <v>62</v>
      </c>
      <c r="G125" t="s">
        <v>26</v>
      </c>
      <c r="H125" s="1">
        <v>104.50617564899999</v>
      </c>
      <c r="I125" s="1">
        <v>20</v>
      </c>
      <c r="J125" s="1">
        <v>10</v>
      </c>
      <c r="K125">
        <v>120</v>
      </c>
      <c r="L125" s="9">
        <v>120</v>
      </c>
      <c r="M125" s="1">
        <v>107</v>
      </c>
      <c r="N125" s="1">
        <v>126.91666666666667</v>
      </c>
      <c r="O125" s="1">
        <v>41.183333333333316</v>
      </c>
      <c r="P125" s="1">
        <v>9.7125000000000004</v>
      </c>
      <c r="Q125" s="1">
        <v>8.1315789473684212</v>
      </c>
    </row>
    <row r="126" spans="1:17">
      <c r="A126" s="6">
        <v>44197</v>
      </c>
      <c r="B126" s="6" t="str">
        <f>VLOOKUP(C126,[1]Город!C:E,3,0)</f>
        <v>Москва</v>
      </c>
      <c r="C126" t="s">
        <v>34</v>
      </c>
      <c r="D126" t="s">
        <v>21</v>
      </c>
      <c r="E126">
        <v>2592216</v>
      </c>
      <c r="F126" s="4" t="s">
        <v>73</v>
      </c>
      <c r="G126" t="s">
        <v>26</v>
      </c>
      <c r="H126" s="1">
        <v>169.48384364099996</v>
      </c>
      <c r="I126" s="1">
        <v>25</v>
      </c>
      <c r="J126" s="1">
        <v>1</v>
      </c>
      <c r="K126">
        <v>60</v>
      </c>
      <c r="L126" s="9">
        <v>59</v>
      </c>
      <c r="M126" s="1">
        <v>16</v>
      </c>
      <c r="N126" s="1">
        <v>58.616666666666632</v>
      </c>
      <c r="O126" s="1">
        <v>5.8166666666666638</v>
      </c>
      <c r="P126" s="1">
        <v>6.7553333333333319</v>
      </c>
      <c r="Q126" s="1">
        <v>4.2618055555555534</v>
      </c>
    </row>
    <row r="127" spans="1:17">
      <c r="A127" s="6">
        <v>44197</v>
      </c>
      <c r="B127" s="6" t="str">
        <f>VLOOKUP(C127,[1]Город!C:E,3,0)</f>
        <v>Самара</v>
      </c>
      <c r="C127" t="s">
        <v>30</v>
      </c>
      <c r="D127" t="s">
        <v>12</v>
      </c>
      <c r="E127">
        <v>2591804</v>
      </c>
      <c r="F127" s="4" t="s">
        <v>66</v>
      </c>
      <c r="G127" t="s">
        <v>25</v>
      </c>
      <c r="H127" s="1">
        <v>58.964959762199996</v>
      </c>
      <c r="I127" s="1">
        <v>16</v>
      </c>
      <c r="J127" s="1">
        <v>3</v>
      </c>
      <c r="K127">
        <v>129</v>
      </c>
      <c r="L127" s="9">
        <v>129</v>
      </c>
      <c r="M127" s="1">
        <v>102</v>
      </c>
      <c r="N127" s="1">
        <v>72.600000000000009</v>
      </c>
      <c r="O127" s="1">
        <v>102.81666666666662</v>
      </c>
      <c r="P127" s="1">
        <v>4.2645833333333334</v>
      </c>
      <c r="Q127" s="1">
        <v>11.972222222222223</v>
      </c>
    </row>
    <row r="128" spans="1:17">
      <c r="A128" s="6">
        <v>44197</v>
      </c>
      <c r="B128" s="6" t="str">
        <f>VLOOKUP(C128,[1]Город!C:E,3,0)</f>
        <v>Москва</v>
      </c>
      <c r="C128" t="s">
        <v>39</v>
      </c>
      <c r="D128" t="s">
        <v>11</v>
      </c>
      <c r="E128">
        <v>2592779</v>
      </c>
      <c r="F128" s="4" t="s">
        <v>64</v>
      </c>
      <c r="G128" t="s">
        <v>25</v>
      </c>
      <c r="H128" s="1">
        <v>159.67095390999998</v>
      </c>
      <c r="I128" s="1">
        <v>14</v>
      </c>
      <c r="J128" s="1">
        <v>6</v>
      </c>
      <c r="K128">
        <v>270</v>
      </c>
      <c r="L128" s="9">
        <v>267</v>
      </c>
      <c r="M128" s="1">
        <v>257</v>
      </c>
      <c r="N128" s="1">
        <v>146.03333333333333</v>
      </c>
      <c r="O128" s="1">
        <v>94.483333333333334</v>
      </c>
      <c r="P128" s="1">
        <v>13.751190476190475</v>
      </c>
      <c r="Q128" s="1">
        <v>19.487179487179489</v>
      </c>
    </row>
    <row r="129" spans="1:17">
      <c r="A129" s="6">
        <v>44197</v>
      </c>
      <c r="B129" s="6" t="str">
        <f>VLOOKUP(C129,[1]Город!C:E,3,0)</f>
        <v>Саратов</v>
      </c>
      <c r="C129" t="s">
        <v>55</v>
      </c>
      <c r="D129" t="s">
        <v>11</v>
      </c>
      <c r="E129">
        <v>2593028</v>
      </c>
      <c r="F129" s="4" t="s">
        <v>70</v>
      </c>
      <c r="G129" t="s">
        <v>26</v>
      </c>
      <c r="H129" s="1">
        <v>67.085065124600007</v>
      </c>
      <c r="I129" s="1">
        <v>16</v>
      </c>
      <c r="J129" s="1">
        <v>7</v>
      </c>
      <c r="K129">
        <v>90</v>
      </c>
      <c r="L129" s="9">
        <v>81</v>
      </c>
      <c r="M129" s="1">
        <v>73</v>
      </c>
      <c r="N129" s="1">
        <v>78.283333333333317</v>
      </c>
      <c r="O129" s="1">
        <v>42.149999999999991</v>
      </c>
      <c r="P129" s="1">
        <v>8.7382352941176435</v>
      </c>
      <c r="Q129" s="1">
        <v>3.6604166666666669</v>
      </c>
    </row>
    <row r="130" spans="1:17">
      <c r="A130" s="6">
        <v>44197</v>
      </c>
      <c r="B130" s="6" t="str">
        <f>VLOOKUP(C130,[1]Город!C:E,3,0)</f>
        <v>Воронеж</v>
      </c>
      <c r="C130" t="s">
        <v>56</v>
      </c>
      <c r="D130" t="s">
        <v>11</v>
      </c>
      <c r="E130">
        <v>2592961</v>
      </c>
      <c r="F130" s="4" t="s">
        <v>72</v>
      </c>
      <c r="G130" t="s">
        <v>26</v>
      </c>
      <c r="H130" s="1">
        <v>186.537175244</v>
      </c>
      <c r="I130" s="1">
        <v>21</v>
      </c>
      <c r="J130" s="1">
        <v>2</v>
      </c>
      <c r="K130">
        <v>43</v>
      </c>
      <c r="L130" s="9">
        <v>43</v>
      </c>
      <c r="M130" s="1">
        <v>16</v>
      </c>
      <c r="N130" s="1">
        <v>46.616666666666667</v>
      </c>
      <c r="O130" s="1">
        <v>59.466666666666683</v>
      </c>
      <c r="P130" s="1">
        <v>1.5066666666666666</v>
      </c>
      <c r="Q130" s="1">
        <v>21.392982456140356</v>
      </c>
    </row>
    <row r="131" spans="1:17">
      <c r="A131" s="6">
        <v>44197</v>
      </c>
      <c r="B131" s="6" t="str">
        <f>VLOOKUP(C131,[1]Город!C:E,3,0)</f>
        <v>Новосибирск</v>
      </c>
      <c r="C131" t="s">
        <v>42</v>
      </c>
      <c r="D131" t="s">
        <v>12</v>
      </c>
      <c r="E131">
        <v>2592058</v>
      </c>
      <c r="F131" s="4" t="s">
        <v>68</v>
      </c>
      <c r="G131" t="s">
        <v>25</v>
      </c>
      <c r="H131" s="1">
        <v>67.198973176099997</v>
      </c>
      <c r="I131" s="1">
        <v>27</v>
      </c>
      <c r="J131" s="1">
        <v>6</v>
      </c>
      <c r="K131">
        <v>183</v>
      </c>
      <c r="L131" s="9">
        <v>179</v>
      </c>
      <c r="M131" s="1">
        <v>140</v>
      </c>
      <c r="N131" s="1">
        <v>92.8</v>
      </c>
      <c r="O131" s="1">
        <v>73.4166666666667</v>
      </c>
      <c r="P131" s="1">
        <v>4.0797619047619049</v>
      </c>
      <c r="Q131" s="1">
        <v>15.288271604938272</v>
      </c>
    </row>
    <row r="132" spans="1:17">
      <c r="A132" s="6">
        <v>44197</v>
      </c>
      <c r="B132" s="6" t="str">
        <f>VLOOKUP(C132,[1]Город!C:E,3,0)</f>
        <v>Москва</v>
      </c>
      <c r="C132" t="s">
        <v>34</v>
      </c>
      <c r="D132" t="s">
        <v>10</v>
      </c>
      <c r="E132">
        <v>2592252</v>
      </c>
      <c r="F132" s="4" t="s">
        <v>70</v>
      </c>
      <c r="G132" t="s">
        <v>25</v>
      </c>
      <c r="H132" s="1">
        <v>107.82678546300001</v>
      </c>
      <c r="I132" s="1">
        <v>16</v>
      </c>
      <c r="J132" s="1">
        <v>6</v>
      </c>
      <c r="K132">
        <v>194</v>
      </c>
      <c r="L132" s="9">
        <v>189</v>
      </c>
      <c r="M132" s="1">
        <v>177</v>
      </c>
      <c r="N132" s="1">
        <v>94.583333333333314</v>
      </c>
      <c r="O132" s="1">
        <v>23.166666666666668</v>
      </c>
      <c r="P132" s="1">
        <v>13.820833333333333</v>
      </c>
      <c r="Q132" s="1">
        <v>6.8744444444444461</v>
      </c>
    </row>
    <row r="133" spans="1:17">
      <c r="A133" s="6">
        <v>44197</v>
      </c>
      <c r="B133" s="6" t="str">
        <f>VLOOKUP(C133,[1]Город!C:E,3,0)</f>
        <v>Санкт-Петербург</v>
      </c>
      <c r="C133" t="s">
        <v>29</v>
      </c>
      <c r="D133" t="s">
        <v>10</v>
      </c>
      <c r="E133">
        <v>2591441</v>
      </c>
      <c r="F133" s="4" t="s">
        <v>68</v>
      </c>
      <c r="G133" t="s">
        <v>25</v>
      </c>
      <c r="H133" s="1">
        <v>164.02983586299993</v>
      </c>
      <c r="I133" s="1">
        <v>7</v>
      </c>
      <c r="J133" s="1">
        <v>7</v>
      </c>
      <c r="K133">
        <v>57</v>
      </c>
      <c r="L133" s="9">
        <v>57</v>
      </c>
      <c r="M133" s="1">
        <v>57</v>
      </c>
      <c r="N133" s="1">
        <v>95.5</v>
      </c>
      <c r="O133" s="1">
        <v>190.16666666666669</v>
      </c>
      <c r="P133" s="1">
        <v>4.1380952380952376</v>
      </c>
      <c r="Q133" s="1">
        <v>17.113888888888891</v>
      </c>
    </row>
    <row r="134" spans="1:17">
      <c r="A134" s="6">
        <v>44197</v>
      </c>
      <c r="B134" s="6" t="str">
        <f>VLOOKUP(C134,[1]Город!C:E,3,0)</f>
        <v>Москва</v>
      </c>
      <c r="C134" t="s">
        <v>39</v>
      </c>
      <c r="D134" t="s">
        <v>13</v>
      </c>
      <c r="E134">
        <v>2592604</v>
      </c>
      <c r="F134" s="4" t="s">
        <v>72</v>
      </c>
      <c r="G134" t="s">
        <v>26</v>
      </c>
      <c r="H134" s="1">
        <v>208.52348573699999</v>
      </c>
      <c r="I134" s="1">
        <v>25</v>
      </c>
      <c r="J134" s="1">
        <v>3</v>
      </c>
      <c r="K134">
        <v>54</v>
      </c>
      <c r="L134" s="9">
        <v>54</v>
      </c>
      <c r="M134" s="1">
        <v>16</v>
      </c>
      <c r="N134" s="1">
        <v>30.516666666666655</v>
      </c>
      <c r="O134" s="1">
        <v>116.94999999999996</v>
      </c>
      <c r="P134" s="1">
        <v>1.2493333333333334</v>
      </c>
      <c r="Q134" s="1">
        <v>13.581944444444444</v>
      </c>
    </row>
    <row r="135" spans="1:17">
      <c r="A135" s="6">
        <v>44197</v>
      </c>
      <c r="B135" s="6" t="str">
        <f>VLOOKUP(C135,[1]Город!C:E,3,0)</f>
        <v>Москва</v>
      </c>
      <c r="C135" t="s">
        <v>39</v>
      </c>
      <c r="D135" t="s">
        <v>14</v>
      </c>
      <c r="E135">
        <v>2592997</v>
      </c>
      <c r="F135" s="4" t="s">
        <v>66</v>
      </c>
      <c r="G135" t="s">
        <v>25</v>
      </c>
      <c r="H135" s="1">
        <v>190.57782125600002</v>
      </c>
      <c r="I135" s="1">
        <v>14</v>
      </c>
      <c r="J135" s="1">
        <v>0</v>
      </c>
      <c r="K135">
        <v>24</v>
      </c>
      <c r="L135" s="9">
        <v>21</v>
      </c>
      <c r="M135" s="1">
        <v>0</v>
      </c>
      <c r="N135" s="1">
        <v>66.183333333333351</v>
      </c>
      <c r="O135" s="1">
        <v>17.150000000000002</v>
      </c>
      <c r="P135" s="1">
        <v>9.468055555555555</v>
      </c>
      <c r="Q135" s="1">
        <v>18.846969696969694</v>
      </c>
    </row>
    <row r="136" spans="1:17">
      <c r="A136" s="6">
        <v>44197</v>
      </c>
      <c r="B136" s="6" t="str">
        <f>VLOOKUP(C136,[1]Город!C:E,3,0)</f>
        <v>Казань</v>
      </c>
      <c r="C136" t="s">
        <v>36</v>
      </c>
      <c r="D136" t="s">
        <v>13</v>
      </c>
      <c r="E136">
        <v>2591688</v>
      </c>
      <c r="F136" s="4" t="s">
        <v>74</v>
      </c>
      <c r="G136" t="s">
        <v>25</v>
      </c>
      <c r="H136" s="1">
        <v>70.789467949699997</v>
      </c>
      <c r="I136" s="1">
        <v>27</v>
      </c>
      <c r="J136" s="1">
        <v>7</v>
      </c>
      <c r="K136">
        <v>246</v>
      </c>
      <c r="L136" s="9">
        <v>244</v>
      </c>
      <c r="M136" s="1">
        <v>209</v>
      </c>
      <c r="N136" s="1">
        <v>143.01666666666677</v>
      </c>
      <c r="O136" s="1">
        <v>57.25</v>
      </c>
      <c r="P136" s="1">
        <v>10.994252873563218</v>
      </c>
      <c r="Q136" s="1">
        <v>7.3113095238095225</v>
      </c>
    </row>
    <row r="137" spans="1:17">
      <c r="A137" s="6">
        <v>44197</v>
      </c>
      <c r="B137" s="6" t="str">
        <f>VLOOKUP(C137,[1]Город!C:E,3,0)</f>
        <v>Омск</v>
      </c>
      <c r="C137" t="s">
        <v>35</v>
      </c>
      <c r="D137" t="s">
        <v>8</v>
      </c>
      <c r="E137">
        <v>2592396</v>
      </c>
      <c r="F137" s="4" t="s">
        <v>64</v>
      </c>
      <c r="G137" t="s">
        <v>25</v>
      </c>
      <c r="H137" s="1">
        <v>115.07206232700001</v>
      </c>
      <c r="I137" s="1">
        <v>17</v>
      </c>
      <c r="J137" s="1">
        <v>0</v>
      </c>
      <c r="K137">
        <v>20</v>
      </c>
      <c r="L137" s="9">
        <v>20</v>
      </c>
      <c r="M137" s="1">
        <v>0</v>
      </c>
      <c r="N137" s="1">
        <v>84.516666666666666</v>
      </c>
      <c r="O137" s="1">
        <v>12.433333333333335</v>
      </c>
      <c r="P137" s="1">
        <v>7.8411764705882341</v>
      </c>
      <c r="Q137" s="1">
        <v>23.605208333333337</v>
      </c>
    </row>
    <row r="138" spans="1:17">
      <c r="A138" s="6">
        <v>44197</v>
      </c>
      <c r="B138" s="6" t="str">
        <f>VLOOKUP(C138,[1]Город!C:E,3,0)</f>
        <v>Новосибирск</v>
      </c>
      <c r="C138" t="s">
        <v>42</v>
      </c>
      <c r="D138" t="s">
        <v>8</v>
      </c>
      <c r="E138">
        <v>2592068</v>
      </c>
      <c r="F138" s="4" t="s">
        <v>61</v>
      </c>
      <c r="G138" t="s">
        <v>25</v>
      </c>
      <c r="H138" s="1">
        <v>69.779434777999995</v>
      </c>
      <c r="I138" s="1">
        <v>18</v>
      </c>
      <c r="J138" s="1">
        <v>6</v>
      </c>
      <c r="K138">
        <v>254</v>
      </c>
      <c r="L138" s="9">
        <v>253</v>
      </c>
      <c r="M138" s="1">
        <v>234</v>
      </c>
      <c r="N138" s="1">
        <v>122.18333333333337</v>
      </c>
      <c r="O138" s="1">
        <v>46.516666666666659</v>
      </c>
      <c r="P138" s="1">
        <v>10.399074074074074</v>
      </c>
      <c r="Q138" s="1">
        <v>9.7892156862745097</v>
      </c>
    </row>
    <row r="139" spans="1:17">
      <c r="A139" s="6">
        <v>44197</v>
      </c>
      <c r="B139" s="6" t="str">
        <f>VLOOKUP(C139,[1]Город!C:E,3,0)</f>
        <v>Москва</v>
      </c>
      <c r="C139" t="s">
        <v>34</v>
      </c>
      <c r="D139" t="s">
        <v>11</v>
      </c>
      <c r="E139">
        <v>2592344</v>
      </c>
      <c r="F139" s="4" t="s">
        <v>68</v>
      </c>
      <c r="G139" t="s">
        <v>25</v>
      </c>
      <c r="H139" s="1">
        <v>183.35038323199996</v>
      </c>
      <c r="I139" s="1">
        <v>10</v>
      </c>
      <c r="J139" s="1">
        <v>0</v>
      </c>
      <c r="K139">
        <v>14</v>
      </c>
      <c r="L139" s="9">
        <v>13</v>
      </c>
      <c r="M139" s="1">
        <v>0</v>
      </c>
      <c r="N139" s="1">
        <v>114.58333333333333</v>
      </c>
      <c r="O139" s="1">
        <v>21.400000000000002</v>
      </c>
      <c r="P139" s="1">
        <v>0.73666666666666669</v>
      </c>
      <c r="Q139" s="1">
        <v>27.511111111111109</v>
      </c>
    </row>
    <row r="140" spans="1:17">
      <c r="A140" s="6">
        <v>44197</v>
      </c>
      <c r="B140" s="6" t="str">
        <f>VLOOKUP(C140,[1]Город!C:E,3,0)</f>
        <v>Москва</v>
      </c>
      <c r="C140" t="s">
        <v>39</v>
      </c>
      <c r="D140" t="s">
        <v>11</v>
      </c>
      <c r="E140">
        <v>2593150</v>
      </c>
      <c r="F140" s="4" t="s">
        <v>62</v>
      </c>
      <c r="G140" t="s">
        <v>25</v>
      </c>
      <c r="H140" s="1">
        <v>58.676333252000013</v>
      </c>
      <c r="I140" s="1">
        <v>27</v>
      </c>
      <c r="J140" s="1">
        <v>8</v>
      </c>
      <c r="K140">
        <v>168</v>
      </c>
      <c r="L140" s="9">
        <v>167</v>
      </c>
      <c r="M140" s="1">
        <v>146</v>
      </c>
      <c r="N140" s="1">
        <v>77.233333333333334</v>
      </c>
      <c r="O140" s="1">
        <v>23.816666666666681</v>
      </c>
      <c r="P140" s="1">
        <v>3.6220238095238098</v>
      </c>
      <c r="Q140" s="1">
        <v>8.7950617283950603</v>
      </c>
    </row>
    <row r="141" spans="1:17">
      <c r="A141" s="6">
        <v>44197</v>
      </c>
      <c r="B141" s="6" t="str">
        <f>VLOOKUP(C141,[1]Город!C:E,3,0)</f>
        <v>Москва</v>
      </c>
      <c r="C141" t="s">
        <v>39</v>
      </c>
      <c r="D141" t="s">
        <v>12</v>
      </c>
      <c r="E141">
        <v>2592492</v>
      </c>
      <c r="F141" s="4" t="s">
        <v>66</v>
      </c>
      <c r="G141" t="s">
        <v>25</v>
      </c>
      <c r="H141" s="1">
        <v>70.573254315100002</v>
      </c>
      <c r="I141" s="1">
        <v>25</v>
      </c>
      <c r="J141" s="1">
        <v>7</v>
      </c>
      <c r="K141">
        <v>167</v>
      </c>
      <c r="L141" s="9">
        <v>167</v>
      </c>
      <c r="M141" s="1">
        <v>137</v>
      </c>
      <c r="N141" s="1">
        <v>153.43333333333337</v>
      </c>
      <c r="O141" s="1">
        <v>30.149999999999988</v>
      </c>
      <c r="P141" s="1">
        <v>5.1173913043478256</v>
      </c>
      <c r="Q141" s="1">
        <v>4.8371212121212119</v>
      </c>
    </row>
    <row r="142" spans="1:17">
      <c r="A142" s="6">
        <v>44197</v>
      </c>
      <c r="B142" s="6" t="str">
        <f>VLOOKUP(C142,[1]Город!C:E,3,0)</f>
        <v>Москва</v>
      </c>
      <c r="C142" t="s">
        <v>39</v>
      </c>
      <c r="D142" t="s">
        <v>11</v>
      </c>
      <c r="E142">
        <v>2590580</v>
      </c>
      <c r="F142" s="4" t="s">
        <v>64</v>
      </c>
      <c r="G142" t="s">
        <v>26</v>
      </c>
      <c r="H142" s="1">
        <v>75.850066454699984</v>
      </c>
      <c r="I142" s="1">
        <v>11</v>
      </c>
      <c r="J142" s="1">
        <v>6</v>
      </c>
      <c r="K142">
        <v>167</v>
      </c>
      <c r="L142" s="9">
        <v>164</v>
      </c>
      <c r="M142" s="1">
        <v>155</v>
      </c>
      <c r="N142" s="1">
        <v>60</v>
      </c>
      <c r="O142" s="1">
        <v>73.899999999999991</v>
      </c>
      <c r="P142" s="1">
        <v>7.281944444444445</v>
      </c>
      <c r="Q142" s="1">
        <v>8.5272727272727291</v>
      </c>
    </row>
    <row r="143" spans="1:17">
      <c r="A143" s="6">
        <v>44197</v>
      </c>
      <c r="B143" s="6" t="str">
        <f>VLOOKUP(C143,[1]Город!C:E,3,0)</f>
        <v>Новосибирск</v>
      </c>
      <c r="C143" t="s">
        <v>42</v>
      </c>
      <c r="D143" t="s">
        <v>12</v>
      </c>
      <c r="E143">
        <v>2593568</v>
      </c>
      <c r="F143" s="4" t="s">
        <v>71</v>
      </c>
      <c r="G143" t="s">
        <v>26</v>
      </c>
      <c r="H143" s="1">
        <v>81.630160060500017</v>
      </c>
      <c r="I143" s="1">
        <v>11</v>
      </c>
      <c r="J143" s="1">
        <v>2</v>
      </c>
      <c r="K143">
        <v>11</v>
      </c>
      <c r="L143" s="9">
        <v>11</v>
      </c>
      <c r="M143" s="1">
        <v>2</v>
      </c>
      <c r="N143" s="1">
        <v>33.133333333333333</v>
      </c>
      <c r="O143" s="1">
        <v>19.016666666666662</v>
      </c>
      <c r="P143" s="1">
        <v>1.4636363636363634</v>
      </c>
      <c r="Q143" s="1">
        <v>27.00333333333333</v>
      </c>
    </row>
    <row r="144" spans="1:17">
      <c r="A144" s="6">
        <v>44197</v>
      </c>
      <c r="B144" s="6" t="str">
        <f>VLOOKUP(C144,[1]Город!C:E,3,0)</f>
        <v>Тюмень</v>
      </c>
      <c r="C144" t="s">
        <v>57</v>
      </c>
      <c r="D144" t="s">
        <v>14</v>
      </c>
      <c r="E144">
        <v>2588728</v>
      </c>
      <c r="F144" s="4" t="s">
        <v>62</v>
      </c>
      <c r="G144" t="s">
        <v>25</v>
      </c>
      <c r="H144" s="1">
        <v>58.692606338800012</v>
      </c>
      <c r="I144" s="1">
        <v>13</v>
      </c>
      <c r="J144" s="1">
        <v>0</v>
      </c>
      <c r="K144">
        <v>15</v>
      </c>
      <c r="L144" s="9">
        <v>15</v>
      </c>
      <c r="M144" s="1">
        <v>0</v>
      </c>
      <c r="N144" s="1">
        <v>38.083333333333329</v>
      </c>
      <c r="O144" s="1">
        <v>42.100000000000009</v>
      </c>
      <c r="P144" s="1">
        <v>2.4208333333333329</v>
      </c>
      <c r="Q144" s="1">
        <v>20.922727272727272</v>
      </c>
    </row>
    <row r="145" spans="1:17">
      <c r="A145" s="6">
        <v>44197</v>
      </c>
      <c r="B145" s="6" t="str">
        <f>VLOOKUP(C145,[1]Город!C:E,3,0)</f>
        <v>Екатеринбург</v>
      </c>
      <c r="C145" t="s">
        <v>31</v>
      </c>
      <c r="D145" t="s">
        <v>12</v>
      </c>
      <c r="E145">
        <v>2590728</v>
      </c>
      <c r="F145" s="4" t="s">
        <v>63</v>
      </c>
      <c r="G145" t="s">
        <v>25</v>
      </c>
      <c r="H145" s="1">
        <v>105.772794256</v>
      </c>
      <c r="I145" s="1">
        <v>36</v>
      </c>
      <c r="J145" s="1">
        <v>9</v>
      </c>
      <c r="K145">
        <v>192</v>
      </c>
      <c r="L145" s="9">
        <v>190</v>
      </c>
      <c r="M145" s="1">
        <v>146</v>
      </c>
      <c r="N145" s="1">
        <v>108.6333333333333</v>
      </c>
      <c r="O145" s="1">
        <v>98.06666666666662</v>
      </c>
      <c r="P145" s="1">
        <v>5.703333333333334</v>
      </c>
      <c r="Q145" s="1">
        <v>5.6034188034188013</v>
      </c>
    </row>
    <row r="146" spans="1:17">
      <c r="A146" s="6">
        <v>44197</v>
      </c>
      <c r="B146" s="6" t="str">
        <f>VLOOKUP(C146,[1]Город!C:E,3,0)</f>
        <v>Ростов-на-Дону</v>
      </c>
      <c r="C146" t="s">
        <v>58</v>
      </c>
      <c r="D146" t="s">
        <v>12</v>
      </c>
      <c r="E146">
        <v>2590791</v>
      </c>
      <c r="F146" s="4" t="s">
        <v>62</v>
      </c>
      <c r="G146" t="s">
        <v>26</v>
      </c>
      <c r="H146" s="1">
        <v>213.363054229</v>
      </c>
      <c r="I146" s="1">
        <v>25</v>
      </c>
      <c r="J146" s="1">
        <v>12</v>
      </c>
      <c r="K146">
        <v>108</v>
      </c>
      <c r="L146" s="9">
        <v>108</v>
      </c>
      <c r="M146" s="1">
        <v>87</v>
      </c>
      <c r="N146" s="1">
        <v>50.799999999999983</v>
      </c>
      <c r="O146" s="1">
        <v>49.1</v>
      </c>
      <c r="P146" s="1">
        <v>5.4033333333333324</v>
      </c>
      <c r="Q146" s="1">
        <v>11.286111111111113</v>
      </c>
    </row>
    <row r="147" spans="1:17">
      <c r="A147" s="6">
        <v>44197</v>
      </c>
      <c r="B147" s="6" t="str">
        <f>VLOOKUP(C147,[1]Город!C:E,3,0)</f>
        <v>Москва</v>
      </c>
      <c r="C147" t="s">
        <v>34</v>
      </c>
      <c r="D147" t="s">
        <v>15</v>
      </c>
      <c r="E147">
        <v>2592221</v>
      </c>
      <c r="F147" s="4" t="s">
        <v>75</v>
      </c>
      <c r="G147" t="s">
        <v>25</v>
      </c>
      <c r="H147" s="1">
        <v>79.469447286600001</v>
      </c>
      <c r="I147" s="1">
        <v>14</v>
      </c>
      <c r="J147" s="1">
        <v>0</v>
      </c>
      <c r="K147">
        <v>17</v>
      </c>
      <c r="L147" s="9">
        <v>17</v>
      </c>
      <c r="M147" s="1">
        <v>0</v>
      </c>
      <c r="N147" s="1">
        <v>134.98333333333332</v>
      </c>
      <c r="O147" s="1">
        <v>54.149999999999984</v>
      </c>
      <c r="P147" s="1">
        <v>2.2285714285714286</v>
      </c>
      <c r="Q147" s="1">
        <v>26.50897435897436</v>
      </c>
    </row>
    <row r="148" spans="1:17">
      <c r="A148" s="6">
        <v>44197</v>
      </c>
      <c r="B148" s="6" t="str">
        <f>VLOOKUP(C148,[1]Город!C:E,3,0)</f>
        <v>Москва</v>
      </c>
      <c r="C148" t="s">
        <v>39</v>
      </c>
      <c r="D148" t="s">
        <v>12</v>
      </c>
      <c r="E148">
        <v>2592493</v>
      </c>
      <c r="F148" s="4" t="s">
        <v>62</v>
      </c>
      <c r="G148" t="s">
        <v>25</v>
      </c>
      <c r="H148" s="1">
        <v>443.18958232199986</v>
      </c>
      <c r="I148" s="1">
        <v>25</v>
      </c>
      <c r="J148" s="1">
        <v>0</v>
      </c>
      <c r="K148">
        <v>25</v>
      </c>
      <c r="L148" s="9">
        <v>25</v>
      </c>
      <c r="M148" s="1">
        <v>0</v>
      </c>
      <c r="N148" s="1">
        <v>69.016666666666666</v>
      </c>
      <c r="O148" s="1">
        <v>60.53333333333331</v>
      </c>
      <c r="P148" s="1">
        <v>0.58043478260869574</v>
      </c>
      <c r="Q148" s="1">
        <v>22.001515151515154</v>
      </c>
    </row>
    <row r="149" spans="1:17">
      <c r="A149" s="6">
        <v>44197</v>
      </c>
      <c r="B149" s="6" t="str">
        <f>VLOOKUP(C149,[1]Город!C:E,3,0)</f>
        <v>Санкт-Петербург</v>
      </c>
      <c r="C149" t="s">
        <v>49</v>
      </c>
      <c r="D149" t="s">
        <v>13</v>
      </c>
      <c r="E149">
        <v>2593153</v>
      </c>
      <c r="F149" s="4" t="s">
        <v>64</v>
      </c>
      <c r="G149" t="s">
        <v>26</v>
      </c>
      <c r="H149" s="1">
        <v>64.071848806000006</v>
      </c>
      <c r="I149" s="1">
        <v>16</v>
      </c>
      <c r="J149" s="1">
        <v>4</v>
      </c>
      <c r="K149">
        <v>103</v>
      </c>
      <c r="L149" s="9">
        <v>103</v>
      </c>
      <c r="M149" s="1">
        <v>85</v>
      </c>
      <c r="N149" s="1">
        <v>84.383333333333354</v>
      </c>
      <c r="O149" s="1">
        <v>35.550000000000004</v>
      </c>
      <c r="P149" s="1">
        <v>6.7607843137254919</v>
      </c>
      <c r="Q149" s="1">
        <v>11.921875</v>
      </c>
    </row>
    <row r="150" spans="1:17">
      <c r="A150" s="6">
        <v>44197</v>
      </c>
      <c r="B150" s="6" t="str">
        <f>VLOOKUP(C150,[1]Город!C:E,3,0)</f>
        <v>Москва</v>
      </c>
      <c r="C150" t="s">
        <v>39</v>
      </c>
      <c r="D150" t="s">
        <v>22</v>
      </c>
      <c r="E150">
        <v>2592773</v>
      </c>
      <c r="F150" s="4" t="s">
        <v>62</v>
      </c>
      <c r="G150" t="s">
        <v>26</v>
      </c>
      <c r="H150" s="1">
        <v>453.7379163010001</v>
      </c>
      <c r="I150" s="1">
        <v>15</v>
      </c>
      <c r="J150" s="1">
        <v>6</v>
      </c>
      <c r="K150">
        <v>93</v>
      </c>
      <c r="L150" s="9">
        <v>91</v>
      </c>
      <c r="M150" s="1">
        <v>75</v>
      </c>
      <c r="N150" s="1">
        <v>55.21666666666669</v>
      </c>
      <c r="O150" s="1">
        <v>337.33333333333337</v>
      </c>
      <c r="P150" s="1">
        <v>10.228571428571428</v>
      </c>
      <c r="Q150" s="1">
        <v>16.844871794871796</v>
      </c>
    </row>
    <row r="151" spans="1:17">
      <c r="A151" s="6">
        <v>44197</v>
      </c>
      <c r="B151" s="6" t="str">
        <f>VLOOKUP(C151,[1]Город!C:E,3,0)</f>
        <v>Москва</v>
      </c>
      <c r="C151" t="s">
        <v>39</v>
      </c>
      <c r="D151" t="s">
        <v>12</v>
      </c>
      <c r="E151">
        <v>2592453</v>
      </c>
      <c r="F151" s="4" t="s">
        <v>62</v>
      </c>
      <c r="G151" t="s">
        <v>26</v>
      </c>
      <c r="H151" s="1">
        <v>38.656506969300004</v>
      </c>
      <c r="I151" s="1">
        <v>16</v>
      </c>
      <c r="J151" s="1">
        <v>3</v>
      </c>
      <c r="K151">
        <v>73</v>
      </c>
      <c r="L151" s="9">
        <v>72</v>
      </c>
      <c r="M151" s="1">
        <v>50</v>
      </c>
      <c r="N151" s="1">
        <v>62.316666666666684</v>
      </c>
      <c r="O151" s="1">
        <v>5.3499999999999988</v>
      </c>
      <c r="P151" s="1">
        <v>5.3666666666666671</v>
      </c>
      <c r="Q151" s="1">
        <v>6.7906250000000004</v>
      </c>
    </row>
    <row r="152" spans="1:17">
      <c r="A152" s="6">
        <v>44197</v>
      </c>
      <c r="B152" s="6" t="str">
        <f>VLOOKUP(C152,[1]Город!C:E,3,0)</f>
        <v>Казань</v>
      </c>
      <c r="C152" t="s">
        <v>36</v>
      </c>
      <c r="D152" t="s">
        <v>13</v>
      </c>
      <c r="E152">
        <v>2591692</v>
      </c>
      <c r="F152" s="4" t="s">
        <v>74</v>
      </c>
      <c r="G152" t="s">
        <v>25</v>
      </c>
      <c r="H152" s="1">
        <v>203.29325570200001</v>
      </c>
      <c r="I152" s="1">
        <v>23</v>
      </c>
      <c r="J152" s="1">
        <v>3</v>
      </c>
      <c r="K152">
        <v>34</v>
      </c>
      <c r="L152" s="9">
        <v>33</v>
      </c>
      <c r="M152" s="1">
        <v>8</v>
      </c>
      <c r="N152" s="1">
        <v>80.599999999999966</v>
      </c>
      <c r="O152" s="1">
        <v>72.483333333333334</v>
      </c>
      <c r="P152" s="1">
        <v>10.011805555555556</v>
      </c>
      <c r="Q152" s="1">
        <v>13.883333333333333</v>
      </c>
    </row>
    <row r="153" spans="1:17">
      <c r="A153" s="6">
        <v>44197</v>
      </c>
      <c r="B153" s="6" t="str">
        <f>VLOOKUP(C153,[1]Город!C:E,3,0)</f>
        <v>Санкт-Петербург</v>
      </c>
      <c r="C153" t="s">
        <v>29</v>
      </c>
      <c r="D153" t="s">
        <v>12</v>
      </c>
      <c r="E153">
        <v>2590943</v>
      </c>
      <c r="F153" s="4" t="s">
        <v>61</v>
      </c>
      <c r="G153" t="s">
        <v>25</v>
      </c>
      <c r="H153" s="1">
        <v>297.08800633700002</v>
      </c>
      <c r="I153" s="1">
        <v>6</v>
      </c>
      <c r="J153" s="1">
        <v>6</v>
      </c>
      <c r="K153">
        <v>66</v>
      </c>
      <c r="L153" s="9">
        <v>65</v>
      </c>
      <c r="M153" s="1">
        <v>65</v>
      </c>
      <c r="N153" s="1">
        <v>153.86666666666667</v>
      </c>
      <c r="O153" s="1">
        <v>124.60000000000001</v>
      </c>
      <c r="P153" s="1">
        <v>7.0083333333333337</v>
      </c>
      <c r="Q153" s="1">
        <v>20.346666666666668</v>
      </c>
    </row>
    <row r="154" spans="1:17">
      <c r="A154" s="6">
        <v>44197</v>
      </c>
      <c r="B154" s="6" t="str">
        <f>VLOOKUP(C154,[1]Город!C:E,3,0)</f>
        <v>Новосибирск</v>
      </c>
      <c r="C154" t="s">
        <v>42</v>
      </c>
      <c r="D154" t="s">
        <v>10</v>
      </c>
      <c r="E154">
        <v>2592135</v>
      </c>
      <c r="F154" s="4" t="s">
        <v>68</v>
      </c>
      <c r="G154" t="s">
        <v>25</v>
      </c>
      <c r="H154" s="1">
        <v>90.950803025899972</v>
      </c>
      <c r="I154" s="1">
        <v>23</v>
      </c>
      <c r="J154" s="1">
        <v>5</v>
      </c>
      <c r="K154">
        <v>129</v>
      </c>
      <c r="L154" s="9">
        <v>128</v>
      </c>
      <c r="M154" s="1">
        <v>110</v>
      </c>
      <c r="N154" s="1">
        <v>97.799999999999969</v>
      </c>
      <c r="O154" s="1">
        <v>124.53333333333333</v>
      </c>
      <c r="P154" s="1">
        <v>12.042857142857143</v>
      </c>
      <c r="Q154" s="1">
        <v>4.543333333333333</v>
      </c>
    </row>
    <row r="155" spans="1:17">
      <c r="A155" s="6">
        <v>44197</v>
      </c>
      <c r="B155" s="6" t="str">
        <f>VLOOKUP(C155,[1]Город!C:E,3,0)</f>
        <v>Москва</v>
      </c>
      <c r="C155" t="s">
        <v>39</v>
      </c>
      <c r="D155" t="s">
        <v>11</v>
      </c>
      <c r="E155">
        <v>2592474</v>
      </c>
      <c r="F155" s="4" t="s">
        <v>62</v>
      </c>
      <c r="G155" t="s">
        <v>26</v>
      </c>
      <c r="H155" s="1">
        <v>43.260178096800026</v>
      </c>
      <c r="I155" s="1">
        <v>18</v>
      </c>
      <c r="J155" s="1">
        <v>6</v>
      </c>
      <c r="K155">
        <v>65</v>
      </c>
      <c r="L155" s="9">
        <v>65</v>
      </c>
      <c r="M155" s="1">
        <v>51</v>
      </c>
      <c r="N155" s="1">
        <v>88.950000000000031</v>
      </c>
      <c r="O155" s="1">
        <v>13.616666666666672</v>
      </c>
      <c r="P155" s="1">
        <v>3.6685185185185185</v>
      </c>
      <c r="Q155" s="1">
        <v>14.853921568627454</v>
      </c>
    </row>
    <row r="156" spans="1:17">
      <c r="A156" s="6">
        <v>44197</v>
      </c>
      <c r="B156" s="6" t="str">
        <f>VLOOKUP(C156,[1]Город!C:E,3,0)</f>
        <v>Новосибирск</v>
      </c>
      <c r="C156" t="s">
        <v>42</v>
      </c>
      <c r="D156" t="s">
        <v>12</v>
      </c>
      <c r="E156">
        <v>2590382</v>
      </c>
      <c r="F156" s="4" t="s">
        <v>69</v>
      </c>
      <c r="G156" t="s">
        <v>25</v>
      </c>
      <c r="H156" s="1">
        <v>82.63931357159997</v>
      </c>
      <c r="I156" s="1">
        <v>5</v>
      </c>
      <c r="J156" s="1">
        <v>5</v>
      </c>
      <c r="K156">
        <v>186</v>
      </c>
      <c r="L156" s="9">
        <v>186</v>
      </c>
      <c r="M156" s="1">
        <v>186</v>
      </c>
      <c r="N156" s="1">
        <v>64.566666666666663</v>
      </c>
      <c r="O156" s="1">
        <v>39.25</v>
      </c>
      <c r="P156" s="1">
        <v>31.689999999999998</v>
      </c>
      <c r="Q156" s="1">
        <v>16.729166666666664</v>
      </c>
    </row>
    <row r="157" spans="1:17">
      <c r="A157" s="6">
        <v>44197</v>
      </c>
      <c r="B157" s="6" t="str">
        <f>VLOOKUP(C157,[1]Город!C:E,3,0)</f>
        <v>Екатеринбург</v>
      </c>
      <c r="C157" t="s">
        <v>31</v>
      </c>
      <c r="D157" t="s">
        <v>19</v>
      </c>
      <c r="E157">
        <v>2590899</v>
      </c>
      <c r="F157" s="4" t="s">
        <v>64</v>
      </c>
      <c r="G157" t="s">
        <v>25</v>
      </c>
      <c r="H157" s="1">
        <v>80.217253724599971</v>
      </c>
      <c r="I157" s="1">
        <v>24</v>
      </c>
      <c r="J157" s="1">
        <v>12</v>
      </c>
      <c r="K157">
        <v>239</v>
      </c>
      <c r="L157" s="9">
        <v>235</v>
      </c>
      <c r="M157" s="1">
        <v>222</v>
      </c>
      <c r="N157" s="1">
        <v>223.25</v>
      </c>
      <c r="O157" s="1">
        <v>38.299999999999983</v>
      </c>
      <c r="P157" s="1">
        <v>7.5298611111111127</v>
      </c>
      <c r="Q157" s="1">
        <v>15.081884057971017</v>
      </c>
    </row>
    <row r="158" spans="1:17">
      <c r="A158" s="6">
        <v>44197</v>
      </c>
      <c r="B158" s="6" t="str">
        <f>VLOOKUP(C158,[1]Город!C:E,3,0)</f>
        <v>Москва</v>
      </c>
      <c r="C158" t="s">
        <v>39</v>
      </c>
      <c r="D158" t="s">
        <v>11</v>
      </c>
      <c r="E158">
        <v>2593019</v>
      </c>
      <c r="F158" s="4" t="s">
        <v>64</v>
      </c>
      <c r="G158" t="s">
        <v>26</v>
      </c>
      <c r="H158" s="1">
        <v>64.962456908099995</v>
      </c>
      <c r="I158" s="1">
        <v>19</v>
      </c>
      <c r="J158" s="1">
        <v>1</v>
      </c>
      <c r="K158">
        <v>37</v>
      </c>
      <c r="L158" s="9">
        <v>37</v>
      </c>
      <c r="M158" s="1">
        <v>10</v>
      </c>
      <c r="N158" s="1">
        <v>30.166666666666668</v>
      </c>
      <c r="O158" s="1">
        <v>34.466666666666683</v>
      </c>
      <c r="P158" s="1">
        <v>5.53</v>
      </c>
      <c r="Q158" s="1">
        <v>4.9631578947368427</v>
      </c>
    </row>
    <row r="159" spans="1:17">
      <c r="A159" s="6">
        <v>44197</v>
      </c>
      <c r="B159" s="6" t="str">
        <f>VLOOKUP(C159,[1]Город!C:E,3,0)</f>
        <v>Екатеринбург</v>
      </c>
      <c r="C159" t="s">
        <v>31</v>
      </c>
      <c r="D159" t="s">
        <v>12</v>
      </c>
      <c r="E159">
        <v>2590995</v>
      </c>
      <c r="F159" s="4" t="s">
        <v>64</v>
      </c>
      <c r="G159" t="s">
        <v>25</v>
      </c>
      <c r="H159" s="1">
        <v>55.614644486600007</v>
      </c>
      <c r="I159" s="1">
        <v>26</v>
      </c>
      <c r="J159" s="1">
        <v>12</v>
      </c>
      <c r="K159">
        <v>182</v>
      </c>
      <c r="L159" s="9">
        <v>182</v>
      </c>
      <c r="M159" s="1">
        <v>170</v>
      </c>
      <c r="N159" s="1">
        <v>187.56666666666663</v>
      </c>
      <c r="O159" s="1">
        <v>119.81666666666662</v>
      </c>
      <c r="P159" s="1">
        <v>10.735416666666667</v>
      </c>
      <c r="Q159" s="1">
        <v>7.0239130434782604</v>
      </c>
    </row>
    <row r="160" spans="1:17">
      <c r="A160" s="6">
        <v>44197</v>
      </c>
      <c r="B160" s="6" t="str">
        <f>VLOOKUP(C160,[1]Город!C:E,3,0)</f>
        <v>Москва</v>
      </c>
      <c r="C160" t="s">
        <v>39</v>
      </c>
      <c r="D160" t="s">
        <v>11</v>
      </c>
      <c r="E160">
        <v>2590503</v>
      </c>
      <c r="F160" s="4" t="s">
        <v>62</v>
      </c>
      <c r="G160" t="s">
        <v>25</v>
      </c>
      <c r="H160" s="1">
        <v>184.79331190000002</v>
      </c>
      <c r="I160" s="1">
        <v>11</v>
      </c>
      <c r="J160" s="1">
        <v>0</v>
      </c>
      <c r="K160">
        <v>13</v>
      </c>
      <c r="L160" s="9">
        <v>13</v>
      </c>
      <c r="M160" s="1">
        <v>0</v>
      </c>
      <c r="N160" s="1">
        <v>49.699999999999996</v>
      </c>
      <c r="O160" s="1">
        <v>39.016666666666659</v>
      </c>
      <c r="P160" s="1">
        <v>8.6878787878787875</v>
      </c>
      <c r="Q160" s="1">
        <v>32.629999999999995</v>
      </c>
    </row>
    <row r="161" spans="1:17">
      <c r="A161" s="6">
        <v>44197</v>
      </c>
      <c r="B161" s="6" t="str">
        <f>VLOOKUP(C161,[1]Город!C:E,3,0)</f>
        <v>Москва</v>
      </c>
      <c r="C161" t="s">
        <v>39</v>
      </c>
      <c r="D161" t="s">
        <v>12</v>
      </c>
      <c r="E161">
        <v>2592488</v>
      </c>
      <c r="F161" s="4" t="s">
        <v>62</v>
      </c>
      <c r="G161" t="s">
        <v>25</v>
      </c>
      <c r="H161" s="1">
        <v>109.25905635599999</v>
      </c>
      <c r="I161" s="1">
        <v>30</v>
      </c>
      <c r="J161" s="1">
        <v>8</v>
      </c>
      <c r="K161">
        <v>208</v>
      </c>
      <c r="L161" s="9">
        <v>206</v>
      </c>
      <c r="M161" s="1">
        <v>178</v>
      </c>
      <c r="N161" s="1">
        <v>113.94999999999993</v>
      </c>
      <c r="O161" s="1">
        <v>42.383333333333354</v>
      </c>
      <c r="P161" s="1">
        <v>7.7440860215053773</v>
      </c>
      <c r="Q161" s="1">
        <v>1.4811111111111115</v>
      </c>
    </row>
    <row r="162" spans="1:17">
      <c r="A162" s="6">
        <v>44197</v>
      </c>
      <c r="B162" s="6" t="str">
        <f>VLOOKUP(C162,[1]Город!C:E,3,0)</f>
        <v>Санкт-Петербург</v>
      </c>
      <c r="C162" t="s">
        <v>49</v>
      </c>
      <c r="D162" t="s">
        <v>9</v>
      </c>
      <c r="E162">
        <v>2593121</v>
      </c>
      <c r="F162" s="4" t="s">
        <v>62</v>
      </c>
      <c r="G162" t="s">
        <v>25</v>
      </c>
      <c r="H162" s="1">
        <v>79.643243656299987</v>
      </c>
      <c r="I162" s="1">
        <v>24</v>
      </c>
      <c r="J162" s="1">
        <v>7</v>
      </c>
      <c r="K162">
        <v>129</v>
      </c>
      <c r="L162" s="9">
        <v>128</v>
      </c>
      <c r="M162" s="1">
        <v>107</v>
      </c>
      <c r="N162" s="1">
        <v>63.299999999999976</v>
      </c>
      <c r="O162" s="1">
        <v>2.0166666666666662</v>
      </c>
      <c r="P162" s="1">
        <v>7.2479166666666686</v>
      </c>
      <c r="Q162" s="1">
        <v>11.76159420289855</v>
      </c>
    </row>
    <row r="163" spans="1:17">
      <c r="A163" s="6">
        <v>44197</v>
      </c>
      <c r="B163" s="6" t="str">
        <f>VLOOKUP(C163,[1]Город!C:E,3,0)</f>
        <v>Пермь</v>
      </c>
      <c r="C163" t="s">
        <v>41</v>
      </c>
      <c r="D163" t="s">
        <v>11</v>
      </c>
      <c r="E163">
        <v>2592869</v>
      </c>
      <c r="F163" s="4" t="s">
        <v>62</v>
      </c>
      <c r="G163" t="s">
        <v>25</v>
      </c>
      <c r="H163" s="1">
        <v>194.56867732099997</v>
      </c>
      <c r="I163" s="1">
        <v>30</v>
      </c>
      <c r="J163" s="1">
        <v>13</v>
      </c>
      <c r="K163">
        <v>214</v>
      </c>
      <c r="L163" s="9">
        <v>213</v>
      </c>
      <c r="M163" s="1">
        <v>192</v>
      </c>
      <c r="N163" s="1">
        <v>7.4000000000000039</v>
      </c>
      <c r="O163" s="1">
        <v>147.88333333333324</v>
      </c>
      <c r="P163" s="1">
        <v>10.810555555555558</v>
      </c>
      <c r="Q163" s="1">
        <v>8.8758620689655157</v>
      </c>
    </row>
    <row r="164" spans="1:17">
      <c r="A164" s="6">
        <v>44197</v>
      </c>
      <c r="B164" s="6" t="str">
        <f>VLOOKUP(C164,[1]Город!C:E,3,0)</f>
        <v>Санкт-Петербург</v>
      </c>
      <c r="C164" t="s">
        <v>29</v>
      </c>
      <c r="D164" t="s">
        <v>10</v>
      </c>
      <c r="E164">
        <v>2593867</v>
      </c>
      <c r="F164" s="4" t="s">
        <v>78</v>
      </c>
      <c r="G164" t="s">
        <v>25</v>
      </c>
      <c r="H164" s="1">
        <v>45.348349109800004</v>
      </c>
      <c r="I164" s="1">
        <v>9</v>
      </c>
      <c r="J164" s="1">
        <v>0</v>
      </c>
      <c r="K164">
        <v>10</v>
      </c>
      <c r="L164" s="9">
        <v>10</v>
      </c>
      <c r="M164" s="1">
        <v>0</v>
      </c>
      <c r="N164" s="1">
        <v>6.0166666666666666</v>
      </c>
      <c r="O164" s="1">
        <v>0.95</v>
      </c>
      <c r="P164" s="1">
        <v>1.1583333333333332</v>
      </c>
      <c r="Q164" s="1">
        <v>3.3203703703703704</v>
      </c>
    </row>
    <row r="165" spans="1:17">
      <c r="A165" s="6">
        <v>44197</v>
      </c>
      <c r="B165" s="6" t="str">
        <f>VLOOKUP(C165,[1]Город!C:E,3,0)</f>
        <v>Нижний Новгород</v>
      </c>
      <c r="C165" t="s">
        <v>33</v>
      </c>
      <c r="D165" t="s">
        <v>11</v>
      </c>
      <c r="E165">
        <v>2591227</v>
      </c>
      <c r="F165" s="4" t="s">
        <v>66</v>
      </c>
      <c r="G165" t="s">
        <v>25</v>
      </c>
      <c r="H165" s="1">
        <v>76.144582359699996</v>
      </c>
      <c r="I165" s="1">
        <v>24</v>
      </c>
      <c r="J165" s="1">
        <v>7</v>
      </c>
      <c r="K165">
        <v>142</v>
      </c>
      <c r="L165" s="9">
        <v>141</v>
      </c>
      <c r="M165" s="1">
        <v>114</v>
      </c>
      <c r="N165" s="1">
        <v>90.650000000000034</v>
      </c>
      <c r="O165" s="1">
        <v>42.100000000000009</v>
      </c>
      <c r="P165" s="1">
        <v>8.2602564102564084</v>
      </c>
      <c r="Q165" s="1">
        <v>3.6566666666666667</v>
      </c>
    </row>
    <row r="166" spans="1:17">
      <c r="A166" s="6">
        <v>44197</v>
      </c>
      <c r="B166" s="6" t="str">
        <f>VLOOKUP(C166,[1]Город!C:E,3,0)</f>
        <v>Самара</v>
      </c>
      <c r="C166" t="s">
        <v>30</v>
      </c>
      <c r="D166" t="s">
        <v>23</v>
      </c>
      <c r="E166">
        <v>2591806</v>
      </c>
      <c r="F166" s="4" t="s">
        <v>62</v>
      </c>
      <c r="G166" t="s">
        <v>26</v>
      </c>
      <c r="H166" s="1">
        <v>553.621186008</v>
      </c>
      <c r="I166" s="1">
        <v>40</v>
      </c>
      <c r="J166" s="1">
        <v>12</v>
      </c>
      <c r="K166">
        <v>126</v>
      </c>
      <c r="L166" s="9">
        <v>100</v>
      </c>
      <c r="M166" s="1">
        <v>59</v>
      </c>
      <c r="N166" s="1">
        <v>127.25</v>
      </c>
      <c r="O166" s="1">
        <v>122.73333333333328</v>
      </c>
      <c r="P166" s="1">
        <v>4.6975000000000007</v>
      </c>
      <c r="Q166" s="1">
        <v>11.754273504273506</v>
      </c>
    </row>
    <row r="167" spans="1:17">
      <c r="A167" s="6">
        <v>44197</v>
      </c>
      <c r="B167" s="6" t="str">
        <f>VLOOKUP(C167,[1]Город!C:E,3,0)</f>
        <v>Ростов-на-Дону</v>
      </c>
      <c r="C167" t="s">
        <v>58</v>
      </c>
      <c r="D167" t="s">
        <v>11</v>
      </c>
      <c r="E167">
        <v>2590827</v>
      </c>
      <c r="F167" s="4" t="s">
        <v>66</v>
      </c>
      <c r="G167" t="s">
        <v>25</v>
      </c>
      <c r="H167" s="1">
        <v>69.106236694500012</v>
      </c>
      <c r="I167" s="1">
        <v>13</v>
      </c>
      <c r="J167" s="1">
        <v>5</v>
      </c>
      <c r="K167">
        <v>146</v>
      </c>
      <c r="L167" s="9">
        <v>146</v>
      </c>
      <c r="M167" s="1">
        <v>135</v>
      </c>
      <c r="N167" s="1">
        <v>86.25</v>
      </c>
      <c r="O167" s="1">
        <v>36.233333333333341</v>
      </c>
      <c r="P167" s="1">
        <v>7.717948717948719</v>
      </c>
      <c r="Q167" s="1">
        <v>10.416666666666664</v>
      </c>
    </row>
    <row r="168" spans="1:17">
      <c r="A168" s="6">
        <v>44197</v>
      </c>
      <c r="B168" s="6" t="str">
        <f>VLOOKUP(C168,[1]Город!C:E,3,0)</f>
        <v>Казань</v>
      </c>
      <c r="C168" t="s">
        <v>36</v>
      </c>
      <c r="D168" t="s">
        <v>9</v>
      </c>
      <c r="E168">
        <v>2591395</v>
      </c>
      <c r="F168" s="4" t="s">
        <v>74</v>
      </c>
      <c r="G168" t="s">
        <v>25</v>
      </c>
      <c r="H168" s="1">
        <v>34.560050365800002</v>
      </c>
      <c r="I168" s="1">
        <v>20</v>
      </c>
      <c r="J168" s="1">
        <v>0</v>
      </c>
      <c r="K168">
        <v>27</v>
      </c>
      <c r="L168" s="9">
        <v>26</v>
      </c>
      <c r="M168" s="1">
        <v>0</v>
      </c>
      <c r="N168" s="1">
        <v>209.01666666666679</v>
      </c>
      <c r="O168" s="1">
        <v>27.166666666666668</v>
      </c>
      <c r="P168" s="1">
        <v>4.0000000000000009</v>
      </c>
      <c r="Q168" s="1">
        <v>4.6754385964912277</v>
      </c>
    </row>
    <row r="169" spans="1:17">
      <c r="A169" s="6">
        <v>44197</v>
      </c>
      <c r="B169" s="6" t="str">
        <f>VLOOKUP(C169,[1]Город!C:E,3,0)</f>
        <v>Москва</v>
      </c>
      <c r="C169" t="s">
        <v>34</v>
      </c>
      <c r="D169" t="s">
        <v>13</v>
      </c>
      <c r="E169">
        <v>2592223</v>
      </c>
      <c r="F169" s="4" t="s">
        <v>70</v>
      </c>
      <c r="G169" t="s">
        <v>25</v>
      </c>
      <c r="H169" s="1">
        <v>72.926559052599998</v>
      </c>
      <c r="I169" s="1">
        <v>22</v>
      </c>
      <c r="J169" s="1">
        <v>8</v>
      </c>
      <c r="K169">
        <v>147</v>
      </c>
      <c r="L169" s="9">
        <v>147</v>
      </c>
      <c r="M169" s="1">
        <v>124</v>
      </c>
      <c r="N169" s="1">
        <v>105</v>
      </c>
      <c r="O169" s="1">
        <v>36.600000000000016</v>
      </c>
      <c r="P169" s="1">
        <v>6.9659420289855065</v>
      </c>
      <c r="Q169" s="1">
        <v>17.583333333333332</v>
      </c>
    </row>
    <row r="170" spans="1:17">
      <c r="A170" s="6">
        <v>44197</v>
      </c>
      <c r="B170" s="6" t="str">
        <f>VLOOKUP(C170,[1]Город!C:E,3,0)</f>
        <v>Красноярск</v>
      </c>
      <c r="C170" t="s">
        <v>44</v>
      </c>
      <c r="D170" t="s">
        <v>13</v>
      </c>
      <c r="E170">
        <v>2592727</v>
      </c>
      <c r="F170" s="4" t="s">
        <v>62</v>
      </c>
      <c r="G170" t="s">
        <v>26</v>
      </c>
      <c r="H170" s="1">
        <v>368.49983511599999</v>
      </c>
      <c r="I170" s="1">
        <v>23</v>
      </c>
      <c r="J170" s="1">
        <v>11</v>
      </c>
      <c r="K170">
        <v>182</v>
      </c>
      <c r="L170" s="9">
        <v>152</v>
      </c>
      <c r="M170" s="1">
        <v>131</v>
      </c>
      <c r="N170" s="1">
        <v>136.48333333333326</v>
      </c>
      <c r="O170" s="1">
        <v>284.14999999999992</v>
      </c>
      <c r="P170" s="1">
        <v>5.7543478260869563</v>
      </c>
      <c r="Q170" s="1">
        <v>6.632575757575756</v>
      </c>
    </row>
    <row r="171" spans="1:17">
      <c r="A171" s="6">
        <v>44197</v>
      </c>
      <c r="B171" s="6" t="str">
        <f>VLOOKUP(C171,[1]Город!C:E,3,0)</f>
        <v>Москва</v>
      </c>
      <c r="C171" t="s">
        <v>39</v>
      </c>
      <c r="D171" t="s">
        <v>17</v>
      </c>
      <c r="E171">
        <v>2592418</v>
      </c>
      <c r="F171" s="4" t="s">
        <v>62</v>
      </c>
      <c r="G171" t="s">
        <v>26</v>
      </c>
      <c r="H171" s="1">
        <v>71.914762960900006</v>
      </c>
      <c r="I171" s="1">
        <v>19</v>
      </c>
      <c r="J171" s="1">
        <v>6</v>
      </c>
      <c r="K171">
        <v>66</v>
      </c>
      <c r="L171" s="9">
        <v>66</v>
      </c>
      <c r="M171" s="1">
        <v>54</v>
      </c>
      <c r="N171" s="1">
        <v>46</v>
      </c>
      <c r="O171" s="1">
        <v>8.5999999999999979</v>
      </c>
      <c r="P171" s="1">
        <v>5.4027777777777777</v>
      </c>
      <c r="Q171" s="1">
        <v>9.489215686274509</v>
      </c>
    </row>
    <row r="172" spans="1:17">
      <c r="A172" s="6">
        <v>44197</v>
      </c>
      <c r="B172" s="6" t="str">
        <f>VLOOKUP(C172,[1]Город!C:E,3,0)</f>
        <v>Нижний Новгород</v>
      </c>
      <c r="C172" t="s">
        <v>33</v>
      </c>
      <c r="D172" t="s">
        <v>23</v>
      </c>
      <c r="E172">
        <v>2591271</v>
      </c>
      <c r="F172" s="4" t="s">
        <v>62</v>
      </c>
      <c r="G172" t="s">
        <v>25</v>
      </c>
      <c r="H172" s="1">
        <v>205.91533422300003</v>
      </c>
      <c r="I172" s="1">
        <v>17</v>
      </c>
      <c r="J172" s="1">
        <v>0</v>
      </c>
      <c r="K172">
        <v>21</v>
      </c>
      <c r="L172" s="9">
        <v>21</v>
      </c>
      <c r="M172" s="1">
        <v>0</v>
      </c>
      <c r="N172" s="1">
        <v>72.816666666666634</v>
      </c>
      <c r="O172" s="1">
        <v>67.933333333333366</v>
      </c>
      <c r="P172" s="1">
        <v>6.5892156862745086</v>
      </c>
      <c r="Q172" s="1">
        <v>20.635416666666661</v>
      </c>
    </row>
    <row r="173" spans="1:17">
      <c r="A173" s="6">
        <v>44197</v>
      </c>
      <c r="B173" s="6" t="str">
        <f>VLOOKUP(C173,[1]Город!C:E,3,0)</f>
        <v>Москва</v>
      </c>
      <c r="C173" t="s">
        <v>34</v>
      </c>
      <c r="D173" t="s">
        <v>13</v>
      </c>
      <c r="E173">
        <v>2592259</v>
      </c>
      <c r="F173" s="4" t="s">
        <v>73</v>
      </c>
      <c r="G173" t="s">
        <v>26</v>
      </c>
      <c r="H173" s="1">
        <v>432.378237587</v>
      </c>
      <c r="I173" s="1">
        <v>13</v>
      </c>
      <c r="J173" s="1">
        <v>3</v>
      </c>
      <c r="K173">
        <v>35</v>
      </c>
      <c r="L173" s="9">
        <v>35</v>
      </c>
      <c r="M173" s="1">
        <v>14</v>
      </c>
      <c r="N173" s="1">
        <v>30.100000000000005</v>
      </c>
      <c r="O173" s="1">
        <v>138.54999999999998</v>
      </c>
      <c r="P173" s="1">
        <v>10.716666666666669</v>
      </c>
      <c r="Q173" s="1">
        <v>5.8111111111111127</v>
      </c>
    </row>
    <row r="174" spans="1:17">
      <c r="A174" s="6">
        <v>44197</v>
      </c>
      <c r="B174" s="6" t="str">
        <f>VLOOKUP(C174,[1]Город!C:E,3,0)</f>
        <v>Ростов-на-Дону</v>
      </c>
      <c r="C174" t="s">
        <v>58</v>
      </c>
      <c r="D174" t="s">
        <v>10</v>
      </c>
      <c r="E174">
        <v>2590740</v>
      </c>
      <c r="F174" s="4" t="s">
        <v>66</v>
      </c>
      <c r="G174" t="s">
        <v>25</v>
      </c>
      <c r="H174" s="1">
        <v>74.307440577200012</v>
      </c>
      <c r="I174" s="1">
        <v>17</v>
      </c>
      <c r="J174" s="1">
        <v>7</v>
      </c>
      <c r="K174">
        <v>143</v>
      </c>
      <c r="L174" s="9">
        <v>143</v>
      </c>
      <c r="M174" s="1">
        <v>126</v>
      </c>
      <c r="N174" s="1">
        <v>57.33333333333335</v>
      </c>
      <c r="O174" s="1">
        <v>65.200000000000017</v>
      </c>
      <c r="P174" s="1">
        <v>9.2686274509803912</v>
      </c>
      <c r="Q174" s="1">
        <v>7.4562499999999998</v>
      </c>
    </row>
    <row r="175" spans="1:17">
      <c r="A175" s="6">
        <v>44197</v>
      </c>
      <c r="B175" s="6" t="str">
        <f>VLOOKUP(C175,[1]Город!C:E,3,0)</f>
        <v>Санкт-Петербург</v>
      </c>
      <c r="C175" t="s">
        <v>29</v>
      </c>
      <c r="D175" t="s">
        <v>12</v>
      </c>
      <c r="E175">
        <v>2591026</v>
      </c>
      <c r="F175" s="4" t="s">
        <v>61</v>
      </c>
      <c r="G175" t="s">
        <v>25</v>
      </c>
      <c r="H175" s="1">
        <v>184.26662525199998</v>
      </c>
      <c r="I175" s="1">
        <v>36</v>
      </c>
      <c r="J175" s="1">
        <v>11</v>
      </c>
      <c r="K175">
        <v>106</v>
      </c>
      <c r="L175" s="9">
        <v>102</v>
      </c>
      <c r="M175" s="1">
        <v>74</v>
      </c>
      <c r="N175" s="1">
        <v>120.11666666666669</v>
      </c>
      <c r="O175" s="1">
        <v>253.61666666666673</v>
      </c>
      <c r="P175" s="1">
        <v>8.2120370370370388</v>
      </c>
      <c r="Q175" s="1">
        <v>5.3976190476190471</v>
      </c>
    </row>
    <row r="176" spans="1:17">
      <c r="A176" s="6">
        <v>44197</v>
      </c>
      <c r="B176" s="6" t="str">
        <f>VLOOKUP(C176,[1]Город!C:E,3,0)</f>
        <v>Красноярск</v>
      </c>
      <c r="C176" t="s">
        <v>44</v>
      </c>
      <c r="D176" t="s">
        <v>12</v>
      </c>
      <c r="E176">
        <v>2592767</v>
      </c>
      <c r="F176" s="4" t="s">
        <v>64</v>
      </c>
      <c r="G176" t="s">
        <v>25</v>
      </c>
      <c r="H176" s="1">
        <v>113.99162516400001</v>
      </c>
      <c r="I176" s="1">
        <v>30</v>
      </c>
      <c r="J176" s="1">
        <v>8</v>
      </c>
      <c r="K176">
        <v>179</v>
      </c>
      <c r="L176" s="9">
        <v>176</v>
      </c>
      <c r="M176" s="1">
        <v>152</v>
      </c>
      <c r="N176" s="1">
        <v>150.8000000000001</v>
      </c>
      <c r="O176" s="1">
        <v>108.36666666666669</v>
      </c>
      <c r="P176" s="1">
        <v>2.3272222222222232</v>
      </c>
      <c r="Q176" s="1">
        <v>15.09367816091954</v>
      </c>
    </row>
    <row r="177" spans="1:17">
      <c r="A177" s="6">
        <v>44197</v>
      </c>
      <c r="B177" s="6" t="str">
        <f>VLOOKUP(C177,[1]Город!C:E,3,0)</f>
        <v>Москва</v>
      </c>
      <c r="C177" t="s">
        <v>39</v>
      </c>
      <c r="D177" t="s">
        <v>14</v>
      </c>
      <c r="E177">
        <v>2592811</v>
      </c>
      <c r="F177" s="4" t="s">
        <v>64</v>
      </c>
      <c r="G177" t="s">
        <v>26</v>
      </c>
      <c r="H177" s="1">
        <v>98.420331784900014</v>
      </c>
      <c r="I177" s="1">
        <v>15</v>
      </c>
      <c r="J177" s="1">
        <v>6</v>
      </c>
      <c r="K177">
        <v>165</v>
      </c>
      <c r="L177" s="9">
        <v>165</v>
      </c>
      <c r="M177" s="1">
        <v>155</v>
      </c>
      <c r="N177" s="1">
        <v>124.18333333333338</v>
      </c>
      <c r="O177" s="1">
        <v>46.100000000000016</v>
      </c>
      <c r="P177" s="1">
        <v>11.670512820512819</v>
      </c>
      <c r="Q177" s="1">
        <v>9.0435897435897417</v>
      </c>
    </row>
    <row r="178" spans="1:17">
      <c r="A178" s="6">
        <v>44197</v>
      </c>
      <c r="B178" s="6" t="str">
        <f>VLOOKUP(C178,[1]Город!C:E,3,0)</f>
        <v>Московская область</v>
      </c>
      <c r="C178" t="s">
        <v>59</v>
      </c>
      <c r="D178" t="s">
        <v>12</v>
      </c>
      <c r="E178">
        <v>2591439</v>
      </c>
      <c r="F178" s="4" t="s">
        <v>64</v>
      </c>
      <c r="G178" t="s">
        <v>26</v>
      </c>
      <c r="H178" s="1">
        <v>112.68903406200002</v>
      </c>
      <c r="I178" s="1">
        <v>28</v>
      </c>
      <c r="J178" s="1">
        <v>0</v>
      </c>
      <c r="K178">
        <v>36</v>
      </c>
      <c r="L178" s="9">
        <v>34</v>
      </c>
      <c r="M178" s="1">
        <v>0</v>
      </c>
      <c r="N178" s="1">
        <v>49.549999999999976</v>
      </c>
      <c r="O178" s="1">
        <v>58.016666666666659</v>
      </c>
      <c r="P178" s="1">
        <v>8.7178571428571434</v>
      </c>
      <c r="Q178" s="1">
        <v>15.427777777777781</v>
      </c>
    </row>
    <row r="179" spans="1:17">
      <c r="A179" s="6">
        <v>44197</v>
      </c>
      <c r="B179" s="6" t="str">
        <f>VLOOKUP(C179,[1]Город!C:E,3,0)</f>
        <v>Челябинск</v>
      </c>
      <c r="C179" t="s">
        <v>37</v>
      </c>
      <c r="D179" t="s">
        <v>12</v>
      </c>
      <c r="E179">
        <v>2590299</v>
      </c>
      <c r="F179" s="4" t="s">
        <v>70</v>
      </c>
      <c r="G179" t="s">
        <v>25</v>
      </c>
      <c r="H179" s="1">
        <v>96.506238551899969</v>
      </c>
      <c r="I179" s="1">
        <v>31</v>
      </c>
      <c r="J179" s="1">
        <v>8</v>
      </c>
      <c r="K179">
        <v>208</v>
      </c>
      <c r="L179" s="9">
        <v>208</v>
      </c>
      <c r="M179" s="1">
        <v>181</v>
      </c>
      <c r="N179" s="1">
        <v>130.21666666666667</v>
      </c>
      <c r="O179" s="1">
        <v>61.183333333333351</v>
      </c>
      <c r="P179" s="1">
        <v>9.6709677419354829</v>
      </c>
      <c r="Q179" s="1">
        <v>8.367222222222221</v>
      </c>
    </row>
    <row r="180" spans="1:17">
      <c r="A180" s="6">
        <v>44197</v>
      </c>
      <c r="B180" s="6" t="str">
        <f>VLOOKUP(C180,[1]Город!C:E,3,0)</f>
        <v>Красноярск</v>
      </c>
      <c r="C180" t="s">
        <v>44</v>
      </c>
      <c r="D180" t="s">
        <v>8</v>
      </c>
      <c r="E180">
        <v>2592706</v>
      </c>
      <c r="F180" s="4" t="s">
        <v>64</v>
      </c>
      <c r="G180" t="s">
        <v>25</v>
      </c>
      <c r="H180" s="1">
        <v>362.73517519699993</v>
      </c>
      <c r="I180" s="1">
        <v>16</v>
      </c>
      <c r="J180" s="1">
        <v>0</v>
      </c>
      <c r="K180">
        <v>36</v>
      </c>
      <c r="L180" s="9">
        <v>21</v>
      </c>
      <c r="M180" s="1">
        <v>0</v>
      </c>
      <c r="N180" s="1">
        <v>311.16666666666669</v>
      </c>
      <c r="O180" s="1">
        <v>199.18333333333337</v>
      </c>
      <c r="P180" s="1">
        <v>0.58124999999999993</v>
      </c>
      <c r="Q180" s="1">
        <v>24.604444444444443</v>
      </c>
    </row>
    <row r="181" spans="1:17">
      <c r="A181" s="6">
        <v>44197</v>
      </c>
      <c r="B181" s="6" t="str">
        <f>VLOOKUP(C181,[1]Город!C:E,3,0)</f>
        <v>Екатеринбург</v>
      </c>
      <c r="C181" t="s">
        <v>31</v>
      </c>
      <c r="D181" t="s">
        <v>10</v>
      </c>
      <c r="E181">
        <v>2590732</v>
      </c>
      <c r="F181" s="4" t="s">
        <v>63</v>
      </c>
      <c r="G181" t="s">
        <v>25</v>
      </c>
      <c r="H181" s="1">
        <v>113.208590466</v>
      </c>
      <c r="I181" s="1">
        <v>30</v>
      </c>
      <c r="J181" s="1">
        <v>17</v>
      </c>
      <c r="K181">
        <v>193</v>
      </c>
      <c r="L181" s="9">
        <v>191</v>
      </c>
      <c r="M181" s="1">
        <v>171</v>
      </c>
      <c r="N181" s="1">
        <v>44.316666666666663</v>
      </c>
      <c r="O181" s="1">
        <v>159.41666666666671</v>
      </c>
      <c r="P181" s="1">
        <v>10.641428571428571</v>
      </c>
      <c r="Q181" s="1">
        <v>4.9568627450980385</v>
      </c>
    </row>
    <row r="182" spans="1:17">
      <c r="A182" s="6">
        <v>44197</v>
      </c>
      <c r="B182" s="6" t="str">
        <f>VLOOKUP(C182,[1]Город!C:E,3,0)</f>
        <v>Уфа</v>
      </c>
      <c r="C182" t="s">
        <v>32</v>
      </c>
      <c r="D182" t="s">
        <v>9</v>
      </c>
      <c r="E182">
        <v>2590887</v>
      </c>
      <c r="F182" s="4" t="s">
        <v>62</v>
      </c>
      <c r="G182" t="s">
        <v>25</v>
      </c>
      <c r="H182" s="1">
        <v>169.52208740599997</v>
      </c>
      <c r="I182" s="1">
        <v>25</v>
      </c>
      <c r="J182" s="1">
        <v>13</v>
      </c>
      <c r="K182">
        <v>165</v>
      </c>
      <c r="L182" s="9">
        <v>165</v>
      </c>
      <c r="M182" s="1">
        <v>146</v>
      </c>
      <c r="N182" s="1">
        <v>58.06666666666667</v>
      </c>
      <c r="O182" s="1">
        <v>101.71666666666668</v>
      </c>
      <c r="P182" s="1">
        <v>5.146527777777778</v>
      </c>
      <c r="Q182" s="1">
        <v>10.272463768115943</v>
      </c>
    </row>
    <row r="183" spans="1:17">
      <c r="A183" s="6">
        <v>44197</v>
      </c>
      <c r="B183" s="6" t="str">
        <f>VLOOKUP(C183,[1]Город!C:E,3,0)</f>
        <v>Самара</v>
      </c>
      <c r="C183" t="s">
        <v>30</v>
      </c>
      <c r="D183" t="s">
        <v>12</v>
      </c>
      <c r="E183">
        <v>2591803</v>
      </c>
      <c r="F183" s="4" t="s">
        <v>66</v>
      </c>
      <c r="G183" t="s">
        <v>25</v>
      </c>
      <c r="H183" s="1">
        <v>60.607720843900005</v>
      </c>
      <c r="I183" s="1">
        <v>19</v>
      </c>
      <c r="J183" s="1">
        <v>5</v>
      </c>
      <c r="K183">
        <v>105</v>
      </c>
      <c r="L183" s="9">
        <v>103</v>
      </c>
      <c r="M183" s="1">
        <v>72</v>
      </c>
      <c r="N183" s="1">
        <v>132.05000000000001</v>
      </c>
      <c r="O183" s="1">
        <v>15.783333333333337</v>
      </c>
      <c r="P183" s="1">
        <v>3.9938596491228076</v>
      </c>
      <c r="Q183" s="1">
        <v>14.334259259259259</v>
      </c>
    </row>
    <row r="184" spans="1:17">
      <c r="A184" s="6">
        <v>44197</v>
      </c>
      <c r="B184" s="6" t="str">
        <f>VLOOKUP(C184,[1]Город!C:E,3,0)</f>
        <v>Ростов-на-Дону</v>
      </c>
      <c r="C184" t="s">
        <v>58</v>
      </c>
      <c r="D184" t="s">
        <v>11</v>
      </c>
      <c r="E184">
        <v>2590741</v>
      </c>
      <c r="F184" s="4" t="s">
        <v>66</v>
      </c>
      <c r="G184" t="s">
        <v>25</v>
      </c>
      <c r="H184" s="1">
        <v>87.379947761299988</v>
      </c>
      <c r="I184" s="1">
        <v>21</v>
      </c>
      <c r="J184" s="1">
        <v>6</v>
      </c>
      <c r="K184">
        <v>139</v>
      </c>
      <c r="L184" s="9">
        <v>139</v>
      </c>
      <c r="M184" s="1">
        <v>120</v>
      </c>
      <c r="N184" s="1">
        <v>77.34999999999998</v>
      </c>
      <c r="O184" s="1">
        <v>61.099999999999994</v>
      </c>
      <c r="P184" s="1">
        <v>3.8301587301587299</v>
      </c>
      <c r="Q184" s="1">
        <v>18.04</v>
      </c>
    </row>
    <row r="185" spans="1:17">
      <c r="A185" s="6">
        <v>44197</v>
      </c>
      <c r="B185" s="6" t="str">
        <f>VLOOKUP(C185,[1]Город!C:E,3,0)</f>
        <v>Санкт-Петербург</v>
      </c>
      <c r="C185" t="s">
        <v>29</v>
      </c>
      <c r="D185" t="s">
        <v>8</v>
      </c>
      <c r="E185">
        <v>2590990</v>
      </c>
      <c r="F185" s="4" t="s">
        <v>61</v>
      </c>
      <c r="G185" t="s">
        <v>25</v>
      </c>
      <c r="H185" s="1">
        <v>203.40419885700004</v>
      </c>
      <c r="I185" s="1">
        <v>7</v>
      </c>
      <c r="J185" s="1">
        <v>7</v>
      </c>
      <c r="K185">
        <v>94</v>
      </c>
      <c r="L185" s="9">
        <v>94</v>
      </c>
      <c r="M185" s="1">
        <v>94</v>
      </c>
      <c r="N185" s="1">
        <v>66.55</v>
      </c>
      <c r="O185" s="1">
        <v>110.23333333333333</v>
      </c>
      <c r="P185" s="1">
        <v>3.65</v>
      </c>
      <c r="Q185" s="1">
        <v>12.700000000000001</v>
      </c>
    </row>
    <row r="186" spans="1:17">
      <c r="A186" s="6">
        <v>44197</v>
      </c>
      <c r="B186" s="6" t="str">
        <f>VLOOKUP(C186,[1]Город!C:E,3,0)</f>
        <v>Волгоград</v>
      </c>
      <c r="C186" t="s">
        <v>45</v>
      </c>
      <c r="D186" t="s">
        <v>24</v>
      </c>
      <c r="E186">
        <v>2591778</v>
      </c>
      <c r="F186" s="4" t="s">
        <v>62</v>
      </c>
      <c r="G186" t="s">
        <v>25</v>
      </c>
      <c r="H186" s="1">
        <v>149.831627787</v>
      </c>
      <c r="I186" s="1">
        <v>20</v>
      </c>
      <c r="J186" s="1">
        <v>0</v>
      </c>
      <c r="K186">
        <v>21</v>
      </c>
      <c r="L186" s="9">
        <v>21</v>
      </c>
      <c r="M186" s="1">
        <v>0</v>
      </c>
      <c r="N186" s="1">
        <v>150.81666666666663</v>
      </c>
      <c r="O186" s="1">
        <v>22.533333333333346</v>
      </c>
      <c r="P186" s="1">
        <v>13.144736842105262</v>
      </c>
      <c r="Q186" s="1">
        <v>14.886111111111111</v>
      </c>
    </row>
    <row r="187" spans="1:17">
      <c r="A187" s="6">
        <v>44197</v>
      </c>
      <c r="B187" s="6" t="str">
        <f>VLOOKUP(C187,[1]Город!C:E,3,0)</f>
        <v>Москва</v>
      </c>
      <c r="C187" t="s">
        <v>39</v>
      </c>
      <c r="D187" t="s">
        <v>11</v>
      </c>
      <c r="E187">
        <v>2592596</v>
      </c>
      <c r="F187" s="4" t="s">
        <v>62</v>
      </c>
      <c r="G187" t="s">
        <v>25</v>
      </c>
      <c r="H187" s="1">
        <v>102.69225090300002</v>
      </c>
      <c r="I187" s="1">
        <v>22</v>
      </c>
      <c r="J187" s="1">
        <v>8</v>
      </c>
      <c r="K187">
        <v>189</v>
      </c>
      <c r="L187" s="9">
        <v>188</v>
      </c>
      <c r="M187" s="1">
        <v>169</v>
      </c>
      <c r="N187" s="1">
        <v>164.43333333333337</v>
      </c>
      <c r="O187" s="1">
        <v>24.600000000000009</v>
      </c>
      <c r="P187" s="1">
        <v>4.0458333333333334</v>
      </c>
      <c r="Q187" s="1">
        <v>9.1026315789473671</v>
      </c>
    </row>
    <row r="188" spans="1:17">
      <c r="A188" s="6">
        <v>44197</v>
      </c>
      <c r="B188" s="6" t="str">
        <f>VLOOKUP(C188,[1]Город!C:E,3,0)</f>
        <v>Санкт-Петербург</v>
      </c>
      <c r="C188" t="s">
        <v>29</v>
      </c>
      <c r="D188" t="s">
        <v>8</v>
      </c>
      <c r="E188">
        <v>2591424</v>
      </c>
      <c r="F188" s="4" t="s">
        <v>62</v>
      </c>
      <c r="G188" t="s">
        <v>25</v>
      </c>
      <c r="H188" s="1">
        <v>108.76992897699996</v>
      </c>
      <c r="I188" s="1">
        <v>39</v>
      </c>
      <c r="J188" s="1">
        <v>3</v>
      </c>
      <c r="K188">
        <v>190</v>
      </c>
      <c r="L188" s="9">
        <v>188</v>
      </c>
      <c r="M188" s="1">
        <v>128</v>
      </c>
      <c r="N188" s="1">
        <v>210.25</v>
      </c>
      <c r="O188" s="1">
        <v>50.166666666666686</v>
      </c>
      <c r="P188" s="1">
        <v>8.8638888888888872</v>
      </c>
      <c r="Q188" s="1">
        <v>4.2071428571428582</v>
      </c>
    </row>
    <row r="189" spans="1:17">
      <c r="A189" s="6">
        <v>44197</v>
      </c>
      <c r="B189" s="6" t="str">
        <f>VLOOKUP(C189,[1]Город!C:E,3,0)</f>
        <v>Тюмень</v>
      </c>
      <c r="C189" t="s">
        <v>57</v>
      </c>
      <c r="D189" t="s">
        <v>13</v>
      </c>
      <c r="E189">
        <v>2588734</v>
      </c>
      <c r="F189" s="4" t="s">
        <v>62</v>
      </c>
      <c r="G189" t="s">
        <v>26</v>
      </c>
      <c r="H189" s="1">
        <v>318.16568093700005</v>
      </c>
      <c r="I189" s="1">
        <v>25</v>
      </c>
      <c r="J189" s="1">
        <v>5</v>
      </c>
      <c r="K189">
        <v>93</v>
      </c>
      <c r="L189" s="9">
        <v>92</v>
      </c>
      <c r="M189" s="1">
        <v>61</v>
      </c>
      <c r="N189" s="1">
        <v>41.78333333333331</v>
      </c>
      <c r="O189" s="1">
        <v>163.86666666666676</v>
      </c>
      <c r="P189" s="1">
        <v>3.1645833333333342</v>
      </c>
      <c r="Q189" s="1">
        <v>19.394202898550724</v>
      </c>
    </row>
    <row r="190" spans="1:17">
      <c r="A190" s="6">
        <v>44197</v>
      </c>
      <c r="B190" s="6" t="str">
        <f>VLOOKUP(C190,[1]Город!C:E,3,0)</f>
        <v>Екатеринбург</v>
      </c>
      <c r="C190" t="s">
        <v>31</v>
      </c>
      <c r="D190" t="s">
        <v>19</v>
      </c>
      <c r="E190">
        <v>2590706</v>
      </c>
      <c r="F190" s="4" t="s">
        <v>63</v>
      </c>
      <c r="G190" t="s">
        <v>25</v>
      </c>
      <c r="H190" s="1">
        <v>225.26528773999988</v>
      </c>
      <c r="I190" s="1">
        <v>40</v>
      </c>
      <c r="J190" s="1">
        <v>18</v>
      </c>
      <c r="K190">
        <v>220</v>
      </c>
      <c r="L190" s="9">
        <v>220</v>
      </c>
      <c r="M190" s="1">
        <v>193</v>
      </c>
      <c r="N190" s="1">
        <v>91.766666666666751</v>
      </c>
      <c r="O190" s="1">
        <v>171.61666666666676</v>
      </c>
      <c r="P190" s="1">
        <v>5.2461538461538453</v>
      </c>
      <c r="Q190" s="1">
        <v>7.2824786324786324</v>
      </c>
    </row>
    <row r="191" spans="1:17">
      <c r="A191" s="6">
        <v>44197</v>
      </c>
      <c r="B191" s="6" t="str">
        <f>VLOOKUP(C191,[1]Город!C:E,3,0)</f>
        <v>Волгоград</v>
      </c>
      <c r="C191" t="s">
        <v>45</v>
      </c>
      <c r="D191" t="s">
        <v>15</v>
      </c>
      <c r="E191">
        <v>2591695</v>
      </c>
      <c r="F191" s="4" t="s">
        <v>64</v>
      </c>
      <c r="G191" t="s">
        <v>25</v>
      </c>
      <c r="H191" s="1">
        <v>290.17590590900005</v>
      </c>
      <c r="I191" s="1">
        <v>17</v>
      </c>
      <c r="J191" s="1">
        <v>0</v>
      </c>
      <c r="K191">
        <v>19</v>
      </c>
      <c r="L191" s="9">
        <v>15</v>
      </c>
      <c r="M191" s="1">
        <v>0</v>
      </c>
      <c r="N191" s="1">
        <v>149.78333333333333</v>
      </c>
      <c r="O191" s="1">
        <v>111.88333333333338</v>
      </c>
      <c r="P191" s="1">
        <v>20.885294117647057</v>
      </c>
      <c r="Q191" s="1">
        <v>9.7427083333333311</v>
      </c>
    </row>
    <row r="192" spans="1:17">
      <c r="A192" s="6">
        <v>44197</v>
      </c>
      <c r="B192" s="6" t="str">
        <f>VLOOKUP(C192,[1]Город!C:E,3,0)</f>
        <v>Новосибирск</v>
      </c>
      <c r="C192" t="s">
        <v>42</v>
      </c>
      <c r="D192" t="s">
        <v>10</v>
      </c>
      <c r="E192">
        <v>2590399</v>
      </c>
      <c r="F192" s="4" t="s">
        <v>69</v>
      </c>
      <c r="G192" t="s">
        <v>25</v>
      </c>
      <c r="H192" s="1">
        <v>113.36151429399999</v>
      </c>
      <c r="I192" s="1">
        <v>7</v>
      </c>
      <c r="J192" s="1">
        <v>7</v>
      </c>
      <c r="K192">
        <v>227</v>
      </c>
      <c r="L192" s="9">
        <v>227</v>
      </c>
      <c r="M192" s="1">
        <v>227</v>
      </c>
      <c r="N192" s="1">
        <v>274.53333333333336</v>
      </c>
      <c r="O192" s="1">
        <v>33.35</v>
      </c>
      <c r="P192" s="1">
        <v>8.9071428571428566</v>
      </c>
      <c r="Q192" s="1">
        <v>13.35</v>
      </c>
    </row>
    <row r="193" spans="1:17">
      <c r="A193" s="6">
        <v>44197</v>
      </c>
      <c r="B193" s="6" t="str">
        <f>VLOOKUP(C193,[1]Город!C:E,3,0)</f>
        <v>Уфа</v>
      </c>
      <c r="C193" t="s">
        <v>32</v>
      </c>
      <c r="D193" t="s">
        <v>9</v>
      </c>
      <c r="E193">
        <v>2590806</v>
      </c>
      <c r="F193" s="4" t="s">
        <v>64</v>
      </c>
      <c r="G193" t="s">
        <v>26</v>
      </c>
      <c r="H193" s="1">
        <v>265.54118922800001</v>
      </c>
      <c r="I193" s="1">
        <v>21</v>
      </c>
      <c r="J193" s="1">
        <v>17</v>
      </c>
      <c r="K193">
        <v>188</v>
      </c>
      <c r="L193" s="9">
        <v>187</v>
      </c>
      <c r="M193" s="1">
        <v>181</v>
      </c>
      <c r="N193" s="1">
        <v>94.849999999999966</v>
      </c>
      <c r="O193" s="1">
        <v>158.48333333333326</v>
      </c>
      <c r="P193" s="1">
        <v>6.5087301587301578</v>
      </c>
      <c r="Q193" s="1">
        <v>4.5141666666666662</v>
      </c>
    </row>
    <row r="194" spans="1:17">
      <c r="A194" s="6">
        <v>44197</v>
      </c>
      <c r="B194" s="6" t="str">
        <f>VLOOKUP(C194,[1]Город!C:E,3,0)</f>
        <v>Москва</v>
      </c>
      <c r="C194" t="s">
        <v>39</v>
      </c>
      <c r="D194" t="s">
        <v>11</v>
      </c>
      <c r="E194">
        <v>2590587</v>
      </c>
      <c r="F194" s="4" t="s">
        <v>66</v>
      </c>
      <c r="G194" t="s">
        <v>25</v>
      </c>
      <c r="H194" s="1">
        <v>40.073027247000013</v>
      </c>
      <c r="I194" s="1">
        <v>20</v>
      </c>
      <c r="J194" s="1">
        <v>5</v>
      </c>
      <c r="K194">
        <v>97</v>
      </c>
      <c r="L194" s="9">
        <v>96</v>
      </c>
      <c r="M194" s="1">
        <v>73</v>
      </c>
      <c r="N194" s="1">
        <v>70.549999999999983</v>
      </c>
      <c r="O194" s="1">
        <v>50.600000000000016</v>
      </c>
      <c r="P194" s="1">
        <v>8.6769841269841272</v>
      </c>
      <c r="Q194" s="1">
        <v>9.0491666666666681</v>
      </c>
    </row>
    <row r="195" spans="1:17">
      <c r="A195" s="6">
        <v>44197</v>
      </c>
      <c r="B195" s="6" t="str">
        <f>VLOOKUP(C195,[1]Город!C:E,3,0)</f>
        <v>Омск</v>
      </c>
      <c r="C195" t="s">
        <v>35</v>
      </c>
      <c r="D195" t="s">
        <v>22</v>
      </c>
      <c r="E195">
        <v>2592378</v>
      </c>
      <c r="F195" s="4" t="s">
        <v>64</v>
      </c>
      <c r="G195" t="s">
        <v>26</v>
      </c>
      <c r="H195" s="1">
        <v>82.092376169700003</v>
      </c>
      <c r="I195" s="1">
        <v>13</v>
      </c>
      <c r="J195" s="1">
        <v>12</v>
      </c>
      <c r="K195">
        <v>193</v>
      </c>
      <c r="L195" s="9">
        <v>192</v>
      </c>
      <c r="M195" s="1">
        <v>191</v>
      </c>
      <c r="N195" s="1">
        <v>140.5</v>
      </c>
      <c r="O195" s="1">
        <v>36.350000000000009</v>
      </c>
      <c r="P195" s="1">
        <v>9.0857142857142854</v>
      </c>
      <c r="Q195" s="1">
        <v>12.166666666666668</v>
      </c>
    </row>
    <row r="196" spans="1:17">
      <c r="A196" s="6">
        <v>44197</v>
      </c>
      <c r="B196" s="6" t="str">
        <f>VLOOKUP(C196,[1]Город!C:E,3,0)</f>
        <v>Новосибирск</v>
      </c>
      <c r="C196" t="s">
        <v>42</v>
      </c>
      <c r="D196" t="s">
        <v>22</v>
      </c>
      <c r="E196">
        <v>2590674</v>
      </c>
      <c r="F196" s="4" t="s">
        <v>74</v>
      </c>
      <c r="G196" t="s">
        <v>25</v>
      </c>
      <c r="H196" s="1">
        <v>339.09971817900004</v>
      </c>
      <c r="I196" s="1">
        <v>7</v>
      </c>
      <c r="J196" s="1">
        <v>0</v>
      </c>
      <c r="K196">
        <v>7</v>
      </c>
      <c r="L196" s="9">
        <v>7</v>
      </c>
      <c r="M196" s="1">
        <v>0</v>
      </c>
      <c r="N196" s="1">
        <v>42.983333333333341</v>
      </c>
      <c r="O196" s="1">
        <v>131.75</v>
      </c>
      <c r="P196" s="1">
        <v>17.119444444444444</v>
      </c>
      <c r="Q196" s="1">
        <v>34.05555555555555</v>
      </c>
    </row>
    <row r="197" spans="1:17">
      <c r="A197" s="6">
        <v>44197</v>
      </c>
      <c r="B197" s="6" t="str">
        <f>VLOOKUP(C197,[1]Город!C:E,3,0)</f>
        <v>Новосибирск</v>
      </c>
      <c r="C197" t="s">
        <v>42</v>
      </c>
      <c r="D197" t="s">
        <v>10</v>
      </c>
      <c r="E197">
        <v>2592090</v>
      </c>
      <c r="F197" s="4" t="s">
        <v>61</v>
      </c>
      <c r="G197" t="s">
        <v>25</v>
      </c>
      <c r="H197" s="1">
        <v>80.231119560800011</v>
      </c>
      <c r="I197" s="1">
        <v>21</v>
      </c>
      <c r="J197" s="1">
        <v>7</v>
      </c>
      <c r="K197">
        <v>239</v>
      </c>
      <c r="L197" s="9">
        <v>237</v>
      </c>
      <c r="M197" s="1">
        <v>219</v>
      </c>
      <c r="N197" s="1">
        <v>131.94999999999996</v>
      </c>
      <c r="O197" s="1">
        <v>37.716666666666683</v>
      </c>
      <c r="P197" s="1">
        <v>9.2865079365079364</v>
      </c>
      <c r="Q197" s="1">
        <v>3.1799999999999993</v>
      </c>
    </row>
    <row r="198" spans="1:17">
      <c r="A198" s="6">
        <v>44197</v>
      </c>
      <c r="B198" s="6" t="str">
        <f>VLOOKUP(C198,[1]Город!C:E,3,0)</f>
        <v>Казань</v>
      </c>
      <c r="C198" t="s">
        <v>36</v>
      </c>
      <c r="D198" t="s">
        <v>12</v>
      </c>
      <c r="E198">
        <v>2591554</v>
      </c>
      <c r="F198" s="4" t="s">
        <v>70</v>
      </c>
      <c r="G198" t="s">
        <v>25</v>
      </c>
      <c r="H198" s="1">
        <v>69.236985370999989</v>
      </c>
      <c r="I198" s="1">
        <v>35</v>
      </c>
      <c r="J198" s="1">
        <v>6</v>
      </c>
      <c r="K198">
        <v>146</v>
      </c>
      <c r="L198" s="9">
        <v>142</v>
      </c>
      <c r="M198" s="1">
        <v>103</v>
      </c>
      <c r="N198" s="1">
        <v>93.449999999999918</v>
      </c>
      <c r="O198" s="1">
        <v>13.466666666666658</v>
      </c>
      <c r="P198" s="1">
        <v>3.7771317829457383</v>
      </c>
      <c r="Q198" s="1">
        <v>7.5988095238095221</v>
      </c>
    </row>
    <row r="199" spans="1:17">
      <c r="A199" s="6">
        <v>44197</v>
      </c>
      <c r="B199" s="6" t="str">
        <f>VLOOKUP(C199,[1]Город!C:E,3,0)</f>
        <v>Москва</v>
      </c>
      <c r="C199" t="s">
        <v>39</v>
      </c>
      <c r="D199" t="s">
        <v>12</v>
      </c>
      <c r="E199">
        <v>2593076</v>
      </c>
      <c r="F199" s="4" t="s">
        <v>66</v>
      </c>
      <c r="G199" t="s">
        <v>25</v>
      </c>
      <c r="H199" s="1">
        <v>133.28603564899998</v>
      </c>
      <c r="I199" s="1">
        <v>20</v>
      </c>
      <c r="J199" s="1">
        <v>0</v>
      </c>
      <c r="K199">
        <v>30</v>
      </c>
      <c r="L199" s="9">
        <v>30</v>
      </c>
      <c r="M199" s="1">
        <v>0</v>
      </c>
      <c r="N199" s="1">
        <v>81.733333333333334</v>
      </c>
      <c r="O199" s="1">
        <v>12.933333333333334</v>
      </c>
      <c r="P199" s="1">
        <v>4.7791666666666668</v>
      </c>
      <c r="Q199" s="1">
        <v>20.994736842105262</v>
      </c>
    </row>
    <row r="200" spans="1:17">
      <c r="A200" s="6">
        <v>44197</v>
      </c>
      <c r="B200" s="6" t="str">
        <f>VLOOKUP(C200,[1]Город!C:E,3,0)</f>
        <v>Санкт-Петербург</v>
      </c>
      <c r="C200" t="s">
        <v>29</v>
      </c>
      <c r="D200" t="s">
        <v>8</v>
      </c>
      <c r="E200">
        <v>2591580</v>
      </c>
      <c r="F200" s="4" t="s">
        <v>68</v>
      </c>
      <c r="G200" t="s">
        <v>26</v>
      </c>
      <c r="H200" s="1">
        <v>113.57943944499999</v>
      </c>
      <c r="I200" s="1">
        <v>25</v>
      </c>
      <c r="J200" s="1">
        <v>0</v>
      </c>
      <c r="K200">
        <v>31</v>
      </c>
      <c r="L200" s="9">
        <v>30</v>
      </c>
      <c r="M200" s="1">
        <v>0</v>
      </c>
      <c r="N200" s="1">
        <v>58.833333333333321</v>
      </c>
      <c r="O200" s="1">
        <v>45.03333333333331</v>
      </c>
      <c r="P200" s="1">
        <v>8.9185897435897452</v>
      </c>
      <c r="Q200" s="1">
        <v>6.7313333333333318</v>
      </c>
    </row>
    <row r="201" spans="1:17">
      <c r="A201" s="6">
        <v>44197</v>
      </c>
      <c r="B201" s="6" t="str">
        <f>VLOOKUP(C201,[1]Город!C:E,3,0)</f>
        <v>Москва</v>
      </c>
      <c r="C201" t="s">
        <v>39</v>
      </c>
      <c r="D201" t="s">
        <v>12</v>
      </c>
      <c r="E201">
        <v>2592629</v>
      </c>
      <c r="F201" s="4" t="s">
        <v>68</v>
      </c>
      <c r="G201" t="s">
        <v>25</v>
      </c>
      <c r="H201" s="1">
        <v>142.03131534799996</v>
      </c>
      <c r="I201" s="1">
        <v>22</v>
      </c>
      <c r="J201" s="1">
        <v>10</v>
      </c>
      <c r="K201">
        <v>147</v>
      </c>
      <c r="L201" s="9">
        <v>144</v>
      </c>
      <c r="M201" s="1">
        <v>131</v>
      </c>
      <c r="N201" s="1">
        <v>153.15000000000006</v>
      </c>
      <c r="O201" s="1">
        <v>30.016666666666655</v>
      </c>
      <c r="P201" s="1">
        <v>5.0768115942028986</v>
      </c>
      <c r="Q201" s="1">
        <v>14.987121212121208</v>
      </c>
    </row>
    <row r="202" spans="1:17">
      <c r="A202" s="6">
        <v>44197</v>
      </c>
      <c r="B202" s="6" t="str">
        <f>VLOOKUP(C202,[1]Город!C:E,3,0)</f>
        <v>Тюмень</v>
      </c>
      <c r="C202" t="s">
        <v>57</v>
      </c>
      <c r="D202" t="s">
        <v>13</v>
      </c>
      <c r="E202">
        <v>2588742</v>
      </c>
      <c r="F202" s="4" t="s">
        <v>62</v>
      </c>
      <c r="G202" t="s">
        <v>26</v>
      </c>
      <c r="H202" s="1">
        <v>47.527920111900016</v>
      </c>
      <c r="I202" s="1">
        <v>19</v>
      </c>
      <c r="J202" s="1">
        <v>4</v>
      </c>
      <c r="K202">
        <v>55</v>
      </c>
      <c r="L202" s="9">
        <v>55</v>
      </c>
      <c r="M202" s="1">
        <v>31</v>
      </c>
      <c r="N202" s="1">
        <v>53.516666666666659</v>
      </c>
      <c r="O202" s="1">
        <v>16.816666666666666</v>
      </c>
      <c r="P202" s="1">
        <v>5.5879629629629646</v>
      </c>
      <c r="Q202" s="1">
        <v>12.181481481481478</v>
      </c>
    </row>
    <row r="203" spans="1:17">
      <c r="A203" s="6">
        <v>44197</v>
      </c>
      <c r="B203" s="6" t="str">
        <f>VLOOKUP(C203,[1]Город!C:E,3,0)</f>
        <v>Екатеринбург</v>
      </c>
      <c r="C203" t="s">
        <v>31</v>
      </c>
      <c r="D203" t="s">
        <v>13</v>
      </c>
      <c r="E203">
        <v>2591519</v>
      </c>
      <c r="F203" s="4" t="s">
        <v>64</v>
      </c>
      <c r="G203" t="s">
        <v>25</v>
      </c>
      <c r="H203" s="1">
        <v>85.557928689899995</v>
      </c>
      <c r="I203" s="1">
        <v>25</v>
      </c>
      <c r="J203" s="1">
        <v>8</v>
      </c>
      <c r="K203">
        <v>197</v>
      </c>
      <c r="L203" s="9">
        <v>195</v>
      </c>
      <c r="M203" s="1">
        <v>167</v>
      </c>
      <c r="N203" s="1">
        <v>129.98333333333323</v>
      </c>
      <c r="O203" s="1">
        <v>61.900000000000027</v>
      </c>
      <c r="P203" s="1">
        <v>8.8206666666666678</v>
      </c>
      <c r="Q203" s="1">
        <v>7.1907407407407407</v>
      </c>
    </row>
    <row r="204" spans="1:17">
      <c r="A204" s="6">
        <v>44197</v>
      </c>
      <c r="B204" s="6" t="str">
        <f>VLOOKUP(C204,[1]Город!C:E,3,0)</f>
        <v>Новосибирск</v>
      </c>
      <c r="C204" t="s">
        <v>42</v>
      </c>
      <c r="D204" t="s">
        <v>9</v>
      </c>
      <c r="E204">
        <v>2592093</v>
      </c>
      <c r="F204" s="4" t="s">
        <v>73</v>
      </c>
      <c r="G204" t="s">
        <v>25</v>
      </c>
      <c r="H204" s="1">
        <v>91.048289255</v>
      </c>
      <c r="I204" s="1">
        <v>25</v>
      </c>
      <c r="J204" s="1">
        <v>6</v>
      </c>
      <c r="K204">
        <v>90</v>
      </c>
      <c r="L204" s="9">
        <v>89</v>
      </c>
      <c r="M204" s="1">
        <v>70</v>
      </c>
      <c r="N204" s="1">
        <v>52.633333333333354</v>
      </c>
      <c r="O204" s="1">
        <v>20.800000000000004</v>
      </c>
      <c r="P204" s="1">
        <v>5.44</v>
      </c>
      <c r="Q204" s="1">
        <v>12.999305555555557</v>
      </c>
    </row>
    <row r="205" spans="1:17">
      <c r="A205" s="6">
        <v>44197</v>
      </c>
      <c r="B205" s="6" t="str">
        <f>VLOOKUP(C205,[1]Город!C:E,3,0)</f>
        <v>Екатеринбург</v>
      </c>
      <c r="C205" t="s">
        <v>31</v>
      </c>
      <c r="D205" t="s">
        <v>9</v>
      </c>
      <c r="E205">
        <v>2590755</v>
      </c>
      <c r="F205" s="4" t="s">
        <v>63</v>
      </c>
      <c r="G205" t="s">
        <v>26</v>
      </c>
      <c r="H205" s="1">
        <v>72.118052545600008</v>
      </c>
      <c r="I205" s="1">
        <v>22</v>
      </c>
      <c r="J205" s="1">
        <v>4</v>
      </c>
      <c r="K205">
        <v>93</v>
      </c>
      <c r="L205" s="9">
        <v>93</v>
      </c>
      <c r="M205" s="1">
        <v>63</v>
      </c>
      <c r="N205" s="1">
        <v>71.583333333333314</v>
      </c>
      <c r="O205" s="1">
        <v>233.88333333333324</v>
      </c>
      <c r="P205" s="1">
        <v>2.8724637681159417</v>
      </c>
      <c r="Q205" s="1">
        <v>8.9666666666666703</v>
      </c>
    </row>
    <row r="206" spans="1:17">
      <c r="A206" s="6">
        <v>44197</v>
      </c>
      <c r="B206" s="6" t="str">
        <f>VLOOKUP(C206,[1]Город!C:E,3,0)</f>
        <v>Санкт-Петербург</v>
      </c>
      <c r="C206" t="s">
        <v>29</v>
      </c>
      <c r="D206" t="s">
        <v>10</v>
      </c>
      <c r="E206">
        <v>2591085</v>
      </c>
      <c r="F206" s="4" t="s">
        <v>61</v>
      </c>
      <c r="G206" t="s">
        <v>25</v>
      </c>
      <c r="H206" s="1">
        <v>190.45561296400004</v>
      </c>
      <c r="I206" s="1">
        <v>25</v>
      </c>
      <c r="J206" s="1">
        <v>3</v>
      </c>
      <c r="K206">
        <v>94</v>
      </c>
      <c r="L206" s="9">
        <v>94</v>
      </c>
      <c r="M206" s="1">
        <v>56</v>
      </c>
      <c r="N206" s="1">
        <v>220.36666666666676</v>
      </c>
      <c r="O206" s="1">
        <v>115.73333333333328</v>
      </c>
      <c r="P206" s="1">
        <v>3.9905797101449285</v>
      </c>
      <c r="Q206" s="1">
        <v>7.741666666666668</v>
      </c>
    </row>
    <row r="207" spans="1:17">
      <c r="A207" s="6">
        <v>44197</v>
      </c>
      <c r="B207" s="6" t="str">
        <f>VLOOKUP(C207,[1]Город!C:E,3,0)</f>
        <v>Волгоград</v>
      </c>
      <c r="C207" t="s">
        <v>45</v>
      </c>
      <c r="D207" t="s">
        <v>13</v>
      </c>
      <c r="E207">
        <v>2591700</v>
      </c>
      <c r="F207" s="4" t="s">
        <v>64</v>
      </c>
      <c r="G207" t="s">
        <v>25</v>
      </c>
      <c r="H207" s="1">
        <v>112.24234816200001</v>
      </c>
      <c r="I207" s="1">
        <v>12</v>
      </c>
      <c r="J207" s="1">
        <v>0</v>
      </c>
      <c r="K207">
        <v>17</v>
      </c>
      <c r="L207" s="9">
        <v>17</v>
      </c>
      <c r="M207" s="1">
        <v>0</v>
      </c>
      <c r="N207" s="1">
        <v>195.6333333333333</v>
      </c>
      <c r="O207" s="1">
        <v>70.049999999999983</v>
      </c>
      <c r="P207" s="1">
        <v>11.631818181818181</v>
      </c>
      <c r="Q207" s="1">
        <v>28.595000000000006</v>
      </c>
    </row>
    <row r="208" spans="1:17">
      <c r="A208" s="6">
        <v>44197</v>
      </c>
      <c r="B208" s="6" t="str">
        <f>VLOOKUP(C208,[1]Город!C:E,3,0)</f>
        <v>Новосибирск</v>
      </c>
      <c r="C208" t="s">
        <v>42</v>
      </c>
      <c r="D208" t="s">
        <v>10</v>
      </c>
      <c r="E208">
        <v>2592131</v>
      </c>
      <c r="F208" s="4" t="s">
        <v>61</v>
      </c>
      <c r="G208" t="s">
        <v>25</v>
      </c>
      <c r="H208" s="1">
        <v>116.706890804</v>
      </c>
      <c r="I208" s="1">
        <v>30</v>
      </c>
      <c r="J208" s="1">
        <v>10</v>
      </c>
      <c r="K208">
        <v>134</v>
      </c>
      <c r="L208" s="9">
        <v>133</v>
      </c>
      <c r="M208" s="1">
        <v>102</v>
      </c>
      <c r="N208" s="1">
        <v>107.84999999999994</v>
      </c>
      <c r="O208" s="1">
        <v>31.149999999999984</v>
      </c>
      <c r="P208" s="1">
        <v>5.5848958333333334</v>
      </c>
      <c r="Q208" s="1">
        <v>4.790322580645161</v>
      </c>
    </row>
    <row r="209" spans="1:17">
      <c r="A209" s="6">
        <v>44197</v>
      </c>
      <c r="B209" s="6" t="str">
        <f>VLOOKUP(C209,[1]Город!C:E,3,0)</f>
        <v>Москва</v>
      </c>
      <c r="C209" t="s">
        <v>39</v>
      </c>
      <c r="D209" t="s">
        <v>8</v>
      </c>
      <c r="E209">
        <v>2592543</v>
      </c>
      <c r="F209" s="4" t="s">
        <v>66</v>
      </c>
      <c r="G209" t="s">
        <v>26</v>
      </c>
      <c r="H209" s="1">
        <v>91.746126614400012</v>
      </c>
      <c r="I209" s="1">
        <v>16</v>
      </c>
      <c r="J209" s="1">
        <v>5</v>
      </c>
      <c r="K209">
        <v>117</v>
      </c>
      <c r="L209" s="9">
        <v>117</v>
      </c>
      <c r="M209" s="1">
        <v>108</v>
      </c>
      <c r="N209" s="1">
        <v>38.56666666666667</v>
      </c>
      <c r="O209" s="1">
        <v>55.149999999999984</v>
      </c>
      <c r="P209" s="1">
        <v>5.230952380952381</v>
      </c>
      <c r="Q209" s="1">
        <v>15.651282051282051</v>
      </c>
    </row>
    <row r="210" spans="1:17">
      <c r="A210" s="6">
        <v>44197</v>
      </c>
      <c r="B210" s="6" t="str">
        <f>VLOOKUP(C210,[1]Город!C:E,3,0)</f>
        <v>Волгоград</v>
      </c>
      <c r="C210" t="s">
        <v>45</v>
      </c>
      <c r="D210" t="s">
        <v>12</v>
      </c>
      <c r="E210">
        <v>2591772</v>
      </c>
      <c r="F210" s="4" t="s">
        <v>74</v>
      </c>
      <c r="G210" t="s">
        <v>25</v>
      </c>
      <c r="H210" s="1">
        <v>151.99695579699997</v>
      </c>
      <c r="I210" s="1">
        <v>26</v>
      </c>
      <c r="J210" s="1">
        <v>0</v>
      </c>
      <c r="K210">
        <v>29</v>
      </c>
      <c r="L210" s="9">
        <v>29</v>
      </c>
      <c r="M210" s="1">
        <v>0</v>
      </c>
      <c r="N210" s="1">
        <v>86.099999999999966</v>
      </c>
      <c r="P210" s="1">
        <v>13.573717948717952</v>
      </c>
      <c r="Q210" s="1">
        <v>1.4993333333333334</v>
      </c>
    </row>
    <row r="211" spans="1:17">
      <c r="A211" s="6">
        <v>44197</v>
      </c>
      <c r="B211" s="6" t="str">
        <f>VLOOKUP(C211,[1]Город!C:E,3,0)</f>
        <v>Москва</v>
      </c>
      <c r="C211" t="s">
        <v>39</v>
      </c>
      <c r="D211" t="s">
        <v>9</v>
      </c>
      <c r="E211">
        <v>2592784</v>
      </c>
      <c r="F211" s="4" t="s">
        <v>62</v>
      </c>
      <c r="G211" t="s">
        <v>25</v>
      </c>
      <c r="H211" s="1">
        <v>59.453000000000003</v>
      </c>
      <c r="I211" s="1">
        <v>22</v>
      </c>
      <c r="J211" s="1">
        <v>5</v>
      </c>
      <c r="K211">
        <v>180</v>
      </c>
      <c r="L211" s="9">
        <v>173</v>
      </c>
      <c r="M211" s="1">
        <v>132</v>
      </c>
      <c r="N211" s="1">
        <v>44.53333333333331</v>
      </c>
      <c r="O211" s="1">
        <v>89.75</v>
      </c>
      <c r="P211" s="1">
        <v>9.3424242424242436</v>
      </c>
      <c r="Q211" s="1">
        <v>15.174603174603176</v>
      </c>
    </row>
    <row r="212" spans="1:17">
      <c r="A212" s="6">
        <v>44197</v>
      </c>
      <c r="B212" s="6" t="str">
        <f>VLOOKUP(C212,[1]Город!C:E,3,0)</f>
        <v>Уфа</v>
      </c>
      <c r="C212" t="s">
        <v>32</v>
      </c>
      <c r="D212" t="s">
        <v>11</v>
      </c>
      <c r="E212">
        <v>2590872</v>
      </c>
      <c r="F212" s="4" t="s">
        <v>62</v>
      </c>
      <c r="G212" t="s">
        <v>25</v>
      </c>
      <c r="H212" s="1">
        <v>141.79984786899999</v>
      </c>
      <c r="I212" s="1">
        <v>19</v>
      </c>
      <c r="J212" s="1">
        <v>6</v>
      </c>
      <c r="K212">
        <v>162</v>
      </c>
      <c r="L212" s="9">
        <v>161</v>
      </c>
      <c r="M212" s="1">
        <v>147</v>
      </c>
      <c r="N212" s="1">
        <v>64.799999999999983</v>
      </c>
      <c r="O212" s="1">
        <v>95.866666666666617</v>
      </c>
      <c r="P212" s="1">
        <v>5.1245614035087721</v>
      </c>
      <c r="Q212" s="1">
        <v>16.390740740740743</v>
      </c>
    </row>
    <row r="213" spans="1:17">
      <c r="A213" s="6">
        <v>44197</v>
      </c>
      <c r="B213" s="6" t="str">
        <f>VLOOKUP(C213,[1]Город!C:E,3,0)</f>
        <v>Москва</v>
      </c>
      <c r="C213" t="s">
        <v>39</v>
      </c>
      <c r="D213" t="s">
        <v>13</v>
      </c>
      <c r="E213">
        <v>2590574</v>
      </c>
      <c r="F213" s="4" t="s">
        <v>66</v>
      </c>
      <c r="G213" t="s">
        <v>26</v>
      </c>
      <c r="H213" s="1">
        <v>402.50755808000002</v>
      </c>
      <c r="I213" s="1">
        <v>18</v>
      </c>
      <c r="J213" s="1">
        <v>2</v>
      </c>
      <c r="K213">
        <v>37</v>
      </c>
      <c r="L213" s="9">
        <v>36</v>
      </c>
      <c r="M213" s="1">
        <v>6</v>
      </c>
      <c r="N213" s="1">
        <v>20.100000000000001</v>
      </c>
      <c r="O213" s="1">
        <v>163.56666666666663</v>
      </c>
      <c r="P213" s="1">
        <v>2.4882352941176471</v>
      </c>
      <c r="Q213" s="1">
        <v>14.235416666666667</v>
      </c>
    </row>
    <row r="214" spans="1:17">
      <c r="A214" s="6">
        <v>44197</v>
      </c>
      <c r="B214" s="6" t="str">
        <f>VLOOKUP(C214,[1]Город!C:E,3,0)</f>
        <v>Москва</v>
      </c>
      <c r="C214" t="s">
        <v>39</v>
      </c>
      <c r="D214" t="s">
        <v>13</v>
      </c>
      <c r="E214">
        <v>2590571</v>
      </c>
      <c r="F214" s="4" t="s">
        <v>62</v>
      </c>
      <c r="G214" t="s">
        <v>26</v>
      </c>
      <c r="H214" s="1">
        <v>89.619650006699985</v>
      </c>
      <c r="I214" s="1">
        <v>14</v>
      </c>
      <c r="J214" s="1">
        <v>4</v>
      </c>
      <c r="K214">
        <v>84</v>
      </c>
      <c r="L214" s="9">
        <v>84</v>
      </c>
      <c r="M214" s="1">
        <v>73</v>
      </c>
      <c r="N214" s="1">
        <v>56.416666666666664</v>
      </c>
      <c r="O214" s="1">
        <v>44</v>
      </c>
      <c r="P214" s="1">
        <v>4.2749999999999995</v>
      </c>
      <c r="Q214" s="1">
        <v>11.963636363636367</v>
      </c>
    </row>
    <row r="215" spans="1:17">
      <c r="A215" s="6">
        <v>44197</v>
      </c>
      <c r="B215" s="6" t="str">
        <f>VLOOKUP(C215,[1]Город!C:E,3,0)</f>
        <v>Красноярск</v>
      </c>
      <c r="C215" t="s">
        <v>44</v>
      </c>
      <c r="D215" t="s">
        <v>12</v>
      </c>
      <c r="E215">
        <v>2592639</v>
      </c>
      <c r="F215" s="4" t="s">
        <v>62</v>
      </c>
      <c r="G215" t="s">
        <v>25</v>
      </c>
      <c r="H215" s="1">
        <v>266.62644888</v>
      </c>
      <c r="I215" s="1">
        <v>7</v>
      </c>
      <c r="J215" s="1">
        <v>3</v>
      </c>
      <c r="K215">
        <v>77</v>
      </c>
      <c r="L215" s="9">
        <v>76</v>
      </c>
      <c r="M215" s="1">
        <v>67</v>
      </c>
      <c r="N215" s="1">
        <v>85.183333333333323</v>
      </c>
      <c r="O215" s="1">
        <v>96.483333333333334</v>
      </c>
      <c r="P215" s="1">
        <v>8.2285714285714295</v>
      </c>
      <c r="Q215" s="1">
        <v>6.1194444444444445</v>
      </c>
    </row>
    <row r="216" spans="1:17">
      <c r="A216" s="6">
        <v>44197</v>
      </c>
      <c r="B216" s="6" t="str">
        <f>VLOOKUP(C216,[1]Город!C:E,3,0)</f>
        <v>Волгоград</v>
      </c>
      <c r="C216" t="s">
        <v>45</v>
      </c>
      <c r="D216" t="s">
        <v>15</v>
      </c>
      <c r="E216">
        <v>2591656</v>
      </c>
      <c r="F216" s="4" t="s">
        <v>64</v>
      </c>
      <c r="G216" t="s">
        <v>25</v>
      </c>
      <c r="H216" s="1">
        <v>194.40792474399998</v>
      </c>
      <c r="I216" s="1">
        <v>20</v>
      </c>
      <c r="J216" s="1">
        <v>0</v>
      </c>
      <c r="K216">
        <v>21</v>
      </c>
      <c r="L216" s="9">
        <v>20</v>
      </c>
      <c r="M216" s="1">
        <v>0</v>
      </c>
      <c r="N216" s="1">
        <v>77.34999999999998</v>
      </c>
      <c r="O216" s="1">
        <v>137.36666666666673</v>
      </c>
      <c r="P216" s="1">
        <v>16.62017543859649</v>
      </c>
      <c r="Q216" s="1">
        <v>15.330555555555556</v>
      </c>
    </row>
    <row r="217" spans="1:17">
      <c r="A217" s="6">
        <v>44197</v>
      </c>
      <c r="B217" s="6" t="str">
        <f>VLOOKUP(C217,[1]Город!C:E,3,0)</f>
        <v>Иркутск</v>
      </c>
      <c r="C217" t="s">
        <v>60</v>
      </c>
      <c r="D217" t="s">
        <v>11</v>
      </c>
      <c r="E217">
        <v>2593095</v>
      </c>
      <c r="F217" s="4" t="s">
        <v>62</v>
      </c>
      <c r="G217" t="s">
        <v>26</v>
      </c>
      <c r="H217" s="1">
        <v>271.16573823699997</v>
      </c>
      <c r="I217" s="1">
        <v>18</v>
      </c>
      <c r="J217" s="1">
        <v>2</v>
      </c>
      <c r="K217">
        <v>42</v>
      </c>
      <c r="L217" s="9">
        <v>42</v>
      </c>
      <c r="M217" s="1">
        <v>18</v>
      </c>
      <c r="N217" s="1">
        <v>79.799999999999983</v>
      </c>
      <c r="P217" s="1">
        <v>12.617647058823531</v>
      </c>
      <c r="Q217" s="1">
        <v>7.2156250000000002</v>
      </c>
    </row>
    <row r="218" spans="1:17">
      <c r="A218" s="6">
        <v>44197</v>
      </c>
      <c r="B218" s="6" t="str">
        <f>VLOOKUP(C218,[1]Город!C:E,3,0)</f>
        <v>Ростов-на-Дону</v>
      </c>
      <c r="C218" t="s">
        <v>58</v>
      </c>
      <c r="D218" t="s">
        <v>11</v>
      </c>
      <c r="E218">
        <v>2590828</v>
      </c>
      <c r="F218" s="4" t="s">
        <v>66</v>
      </c>
      <c r="G218" t="s">
        <v>25</v>
      </c>
      <c r="H218" s="1">
        <v>51.005425691900001</v>
      </c>
      <c r="I218" s="1">
        <v>30</v>
      </c>
      <c r="J218" s="1">
        <v>4</v>
      </c>
      <c r="K218">
        <v>174</v>
      </c>
      <c r="L218" s="9">
        <v>174</v>
      </c>
      <c r="M218" s="1">
        <v>131</v>
      </c>
      <c r="N218" s="1">
        <v>98.016666666666737</v>
      </c>
      <c r="O218" s="1">
        <v>51.116666666666632</v>
      </c>
      <c r="P218" s="1">
        <v>7.9086021505376349</v>
      </c>
      <c r="Q218" s="1">
        <v>6.8177777777777786</v>
      </c>
    </row>
    <row r="219" spans="1:17">
      <c r="A219" s="6">
        <v>44197</v>
      </c>
      <c r="B219" s="6" t="str">
        <f>VLOOKUP(C219,[1]Город!C:E,3,0)</f>
        <v>Новосибирск</v>
      </c>
      <c r="C219" t="s">
        <v>42</v>
      </c>
      <c r="D219" t="s">
        <v>8</v>
      </c>
      <c r="E219">
        <v>2590417</v>
      </c>
      <c r="F219" s="4" t="s">
        <v>69</v>
      </c>
      <c r="G219" t="s">
        <v>25</v>
      </c>
      <c r="H219" s="1">
        <v>48.348520854299998</v>
      </c>
      <c r="I219" s="1">
        <v>4</v>
      </c>
      <c r="J219" s="1">
        <v>4</v>
      </c>
      <c r="K219">
        <v>217</v>
      </c>
      <c r="L219" s="9">
        <v>212</v>
      </c>
      <c r="M219" s="1">
        <v>212</v>
      </c>
      <c r="N219" s="1">
        <v>119.13333333333334</v>
      </c>
      <c r="O219" s="1">
        <v>29.216666666666665</v>
      </c>
      <c r="P219" s="1">
        <v>29.308333333333334</v>
      </c>
      <c r="Q219" s="1">
        <v>20.294444444444448</v>
      </c>
    </row>
    <row r="220" spans="1:17">
      <c r="A220" s="6">
        <v>44197</v>
      </c>
      <c r="B220" s="6" t="str">
        <f>VLOOKUP(C220,[1]Город!C:E,3,0)</f>
        <v>Екатеринбург</v>
      </c>
      <c r="C220" t="s">
        <v>31</v>
      </c>
      <c r="D220" t="s">
        <v>19</v>
      </c>
      <c r="E220">
        <v>2591083</v>
      </c>
      <c r="F220" s="4" t="s">
        <v>64</v>
      </c>
      <c r="G220" t="s">
        <v>26</v>
      </c>
      <c r="H220" s="1">
        <v>82.320808405400001</v>
      </c>
      <c r="I220" s="1">
        <v>22</v>
      </c>
      <c r="J220" s="1">
        <v>11</v>
      </c>
      <c r="K220">
        <v>132</v>
      </c>
      <c r="L220" s="9">
        <v>131</v>
      </c>
      <c r="M220" s="1">
        <v>118</v>
      </c>
      <c r="N220" s="1">
        <v>61.5</v>
      </c>
      <c r="O220" s="1">
        <v>65.5</v>
      </c>
      <c r="P220" s="1">
        <v>5.7386363636363633</v>
      </c>
      <c r="Q220" s="1">
        <v>13.382539682539681</v>
      </c>
    </row>
    <row r="221" spans="1:17">
      <c r="A221" s="6">
        <v>44197</v>
      </c>
      <c r="B221" s="6" t="str">
        <f>VLOOKUP(C221,[1]Город!C:E,3,0)</f>
        <v>Казань</v>
      </c>
      <c r="C221" t="s">
        <v>36</v>
      </c>
      <c r="D221" t="s">
        <v>10</v>
      </c>
      <c r="E221">
        <v>2591072</v>
      </c>
      <c r="F221" s="4" t="s">
        <v>74</v>
      </c>
      <c r="G221" t="s">
        <v>25</v>
      </c>
      <c r="H221" s="1">
        <v>65.042078705999998</v>
      </c>
      <c r="I221" s="1">
        <v>23</v>
      </c>
      <c r="J221" s="1">
        <v>3</v>
      </c>
      <c r="K221">
        <v>75</v>
      </c>
      <c r="L221" s="9">
        <v>72</v>
      </c>
      <c r="M221" s="1">
        <v>27</v>
      </c>
      <c r="N221" s="1">
        <v>106.76666666666671</v>
      </c>
      <c r="P221" s="1">
        <v>9.7847826086956537</v>
      </c>
      <c r="Q221" s="1">
        <v>12.178985507246377</v>
      </c>
    </row>
    <row r="222" spans="1:17">
      <c r="A222" s="6">
        <v>44197</v>
      </c>
      <c r="B222" s="6" t="str">
        <f>VLOOKUP(C222,[1]Город!C:E,3,0)</f>
        <v>Волгоград</v>
      </c>
      <c r="C222" t="s">
        <v>45</v>
      </c>
      <c r="D222" t="s">
        <v>22</v>
      </c>
      <c r="E222">
        <v>2591757</v>
      </c>
      <c r="F222" s="4" t="s">
        <v>65</v>
      </c>
      <c r="G222" t="s">
        <v>25</v>
      </c>
      <c r="H222" s="1">
        <v>128.00097299299998</v>
      </c>
      <c r="I222" s="1">
        <v>17</v>
      </c>
      <c r="J222" s="1">
        <v>0</v>
      </c>
      <c r="K222">
        <v>23</v>
      </c>
      <c r="L222" s="9">
        <v>22</v>
      </c>
      <c r="M222" s="1">
        <v>0</v>
      </c>
      <c r="N222" s="1">
        <v>120.18333333333337</v>
      </c>
      <c r="O222" s="1">
        <v>14.233333333333327</v>
      </c>
      <c r="P222" s="1">
        <v>14.21862745098039</v>
      </c>
      <c r="Q222" s="1">
        <v>13.023529411764704</v>
      </c>
    </row>
    <row r="223" spans="1:17">
      <c r="A223" s="6">
        <v>44197</v>
      </c>
      <c r="B223" s="6" t="str">
        <f>VLOOKUP(C223,[1]Город!C:E,3,0)</f>
        <v>Челябинск</v>
      </c>
      <c r="C223" t="s">
        <v>37</v>
      </c>
      <c r="D223" t="s">
        <v>8</v>
      </c>
      <c r="E223">
        <v>2590301</v>
      </c>
      <c r="F223" s="4" t="s">
        <v>66</v>
      </c>
      <c r="G223" t="s">
        <v>26</v>
      </c>
      <c r="H223" s="1">
        <v>84.231188019499996</v>
      </c>
      <c r="I223" s="1">
        <v>13</v>
      </c>
      <c r="J223" s="1">
        <v>7</v>
      </c>
      <c r="K223">
        <v>112</v>
      </c>
      <c r="L223" s="9">
        <v>108</v>
      </c>
      <c r="M223" s="1">
        <v>98</v>
      </c>
      <c r="N223" s="1">
        <v>89.733333333333334</v>
      </c>
      <c r="O223" s="1">
        <v>15.866666666666672</v>
      </c>
      <c r="P223" s="1">
        <v>12.063095238095233</v>
      </c>
      <c r="Q223" s="1">
        <v>26.156410256410254</v>
      </c>
    </row>
    <row r="224" spans="1:17">
      <c r="A224" s="6">
        <v>44197</v>
      </c>
      <c r="B224" s="6" t="str">
        <f>VLOOKUP(C224,[1]Город!C:E,3,0)</f>
        <v>Санкт-Петербург</v>
      </c>
      <c r="C224" t="s">
        <v>29</v>
      </c>
      <c r="D224" t="s">
        <v>8</v>
      </c>
      <c r="E224">
        <v>2590946</v>
      </c>
      <c r="F224" s="4" t="s">
        <v>61</v>
      </c>
      <c r="G224" t="s">
        <v>25</v>
      </c>
      <c r="H224" s="1">
        <v>175.38898556400008</v>
      </c>
      <c r="I224" s="1">
        <v>7</v>
      </c>
      <c r="J224" s="1">
        <v>7</v>
      </c>
      <c r="K224">
        <v>112</v>
      </c>
      <c r="L224" s="9">
        <v>112</v>
      </c>
      <c r="M224" s="1">
        <v>112</v>
      </c>
      <c r="N224" s="1">
        <v>116.5</v>
      </c>
      <c r="O224" s="1">
        <v>109.5</v>
      </c>
      <c r="P224" s="1">
        <v>11.088095238095237</v>
      </c>
      <c r="Q224" s="1">
        <v>19.480555555555558</v>
      </c>
    </row>
    <row r="225" spans="1:17">
      <c r="A225" s="6">
        <v>44197</v>
      </c>
      <c r="B225" s="6" t="str">
        <f>VLOOKUP(C225,[1]Город!C:E,3,0)</f>
        <v>Москва</v>
      </c>
      <c r="C225" t="s">
        <v>39</v>
      </c>
      <c r="D225" t="s">
        <v>12</v>
      </c>
      <c r="E225">
        <v>2592852</v>
      </c>
      <c r="F225" s="4" t="s">
        <v>67</v>
      </c>
      <c r="G225" t="s">
        <v>25</v>
      </c>
      <c r="H225" s="1">
        <v>63.833784030600007</v>
      </c>
      <c r="I225" s="1">
        <v>25</v>
      </c>
      <c r="J225" s="1">
        <v>10</v>
      </c>
      <c r="K225">
        <v>201</v>
      </c>
      <c r="L225" s="9">
        <v>200</v>
      </c>
      <c r="M225" s="1">
        <v>180</v>
      </c>
      <c r="N225" s="1">
        <v>190.19999999999993</v>
      </c>
      <c r="O225" s="1">
        <v>10.966666666666663</v>
      </c>
      <c r="P225" s="1">
        <v>7.5049382716049369</v>
      </c>
      <c r="Q225" s="1">
        <v>14.258333333333333</v>
      </c>
    </row>
    <row r="226" spans="1:17">
      <c r="A226" s="6">
        <v>44197</v>
      </c>
      <c r="B226" s="6" t="str">
        <f>VLOOKUP(C226,[1]Город!C:E,3,0)</f>
        <v>Москва</v>
      </c>
      <c r="C226" t="s">
        <v>39</v>
      </c>
      <c r="D226" t="s">
        <v>22</v>
      </c>
      <c r="E226">
        <v>2592436</v>
      </c>
      <c r="F226" s="4" t="s">
        <v>62</v>
      </c>
      <c r="G226" t="s">
        <v>26</v>
      </c>
      <c r="H226" s="1">
        <v>43.75091339219999</v>
      </c>
      <c r="I226" s="1">
        <v>16</v>
      </c>
      <c r="J226" s="1">
        <v>5</v>
      </c>
      <c r="K226">
        <v>92</v>
      </c>
      <c r="L226" s="9">
        <v>91</v>
      </c>
      <c r="M226" s="1">
        <v>70</v>
      </c>
      <c r="N226" s="1">
        <v>80.716666666666683</v>
      </c>
      <c r="P226" s="1">
        <v>2.5375000000000005</v>
      </c>
      <c r="Q226" s="1">
        <v>10.261111111111113</v>
      </c>
    </row>
    <row r="227" spans="1:17">
      <c r="A227" s="6">
        <v>44197</v>
      </c>
      <c r="B227" s="6" t="str">
        <f>VLOOKUP(C227,[1]Город!C:E,3,0)</f>
        <v>Волгоград</v>
      </c>
      <c r="C227" t="s">
        <v>45</v>
      </c>
      <c r="D227" t="s">
        <v>12</v>
      </c>
      <c r="E227">
        <v>2591773</v>
      </c>
      <c r="F227" s="4" t="s">
        <v>74</v>
      </c>
      <c r="G227" t="s">
        <v>25</v>
      </c>
      <c r="H227" s="1">
        <v>209.80789698400002</v>
      </c>
      <c r="I227" s="1">
        <v>18</v>
      </c>
      <c r="J227" s="1">
        <v>0</v>
      </c>
      <c r="K227">
        <v>21</v>
      </c>
      <c r="L227" s="9">
        <v>19</v>
      </c>
      <c r="M227" s="1">
        <v>0</v>
      </c>
      <c r="N227" s="1">
        <v>127.40000000000005</v>
      </c>
      <c r="P227" s="1">
        <v>21.951851851851853</v>
      </c>
      <c r="Q227" s="1">
        <v>13.386111111111111</v>
      </c>
    </row>
    <row r="228" spans="1:17">
      <c r="A228" s="6">
        <v>44197</v>
      </c>
      <c r="B228" s="6" t="str">
        <f>VLOOKUP(C228,[1]Город!C:E,3,0)</f>
        <v>Новосибирск</v>
      </c>
      <c r="C228" t="s">
        <v>42</v>
      </c>
      <c r="D228" t="s">
        <v>13</v>
      </c>
      <c r="E228">
        <v>2590365</v>
      </c>
      <c r="F228" s="4" t="s">
        <v>69</v>
      </c>
      <c r="G228" t="s">
        <v>25</v>
      </c>
      <c r="H228" s="1">
        <v>71.009539140499967</v>
      </c>
      <c r="I228" s="1">
        <v>5</v>
      </c>
      <c r="J228" s="1">
        <v>5</v>
      </c>
      <c r="K228">
        <v>168</v>
      </c>
      <c r="L228" s="9">
        <v>168</v>
      </c>
      <c r="M228" s="1">
        <v>168</v>
      </c>
      <c r="N228" s="1">
        <v>114.3</v>
      </c>
      <c r="O228" s="1">
        <v>35.716666666666669</v>
      </c>
      <c r="P228" s="1">
        <v>41.243333333333332</v>
      </c>
      <c r="Q228" s="1">
        <v>26.25</v>
      </c>
    </row>
    <row r="229" spans="1:17">
      <c r="A229" s="6">
        <v>44197</v>
      </c>
      <c r="B229" s="6" t="str">
        <f>VLOOKUP(C229,[1]Город!C:E,3,0)</f>
        <v>Санкт-Петербург</v>
      </c>
      <c r="C229" t="s">
        <v>29</v>
      </c>
      <c r="D229" t="s">
        <v>22</v>
      </c>
      <c r="E229">
        <v>2590901</v>
      </c>
      <c r="F229" s="4" t="s">
        <v>61</v>
      </c>
      <c r="G229" t="s">
        <v>26</v>
      </c>
      <c r="H229" s="1">
        <v>260.57733580899992</v>
      </c>
      <c r="I229" s="1">
        <v>26</v>
      </c>
      <c r="J229" s="1">
        <v>3</v>
      </c>
      <c r="K229">
        <v>53</v>
      </c>
      <c r="L229" s="9">
        <v>50</v>
      </c>
      <c r="M229" s="1">
        <v>22</v>
      </c>
      <c r="N229" s="1">
        <v>75.5</v>
      </c>
      <c r="O229" s="1">
        <v>88.116666666666632</v>
      </c>
      <c r="P229" s="1">
        <v>4.5845679012345677</v>
      </c>
      <c r="Q229" s="1">
        <v>8.308974358974357</v>
      </c>
    </row>
    <row r="230" spans="1:17">
      <c r="A230" s="6">
        <v>44197</v>
      </c>
      <c r="B230" s="6" t="str">
        <f>VLOOKUP(C230,[1]Город!C:E,3,0)</f>
        <v>Москва</v>
      </c>
      <c r="C230" t="s">
        <v>39</v>
      </c>
      <c r="D230" t="s">
        <v>18</v>
      </c>
      <c r="E230">
        <v>2592810</v>
      </c>
      <c r="F230" s="4" t="s">
        <v>62</v>
      </c>
      <c r="G230" t="s">
        <v>26</v>
      </c>
      <c r="H230" s="1">
        <v>392.32325764400008</v>
      </c>
      <c r="I230" s="1">
        <v>19</v>
      </c>
      <c r="J230" s="1">
        <v>9</v>
      </c>
      <c r="K230">
        <v>92</v>
      </c>
      <c r="L230" s="9">
        <v>91</v>
      </c>
      <c r="M230" s="1">
        <v>71</v>
      </c>
      <c r="N230" s="1">
        <v>60.6</v>
      </c>
      <c r="O230" s="1">
        <v>174.48333333333323</v>
      </c>
      <c r="P230" s="1">
        <v>5.9456140350877194</v>
      </c>
      <c r="Q230" s="1">
        <v>3.8472222222222223</v>
      </c>
    </row>
    <row r="231" spans="1:17">
      <c r="A231" s="6">
        <v>44197</v>
      </c>
      <c r="B231" s="6" t="str">
        <f>VLOOKUP(C231,[1]Город!C:E,3,0)</f>
        <v>Москва</v>
      </c>
      <c r="C231" t="s">
        <v>34</v>
      </c>
      <c r="D231" t="s">
        <v>13</v>
      </c>
      <c r="E231">
        <v>2592352</v>
      </c>
      <c r="F231" s="4" t="s">
        <v>73</v>
      </c>
      <c r="G231" t="s">
        <v>26</v>
      </c>
      <c r="H231" s="1">
        <v>106.30888015500001</v>
      </c>
      <c r="I231" s="1">
        <v>21</v>
      </c>
      <c r="J231" s="1">
        <v>2</v>
      </c>
      <c r="K231">
        <v>106</v>
      </c>
      <c r="L231" s="9">
        <v>103</v>
      </c>
      <c r="M231" s="1">
        <v>81</v>
      </c>
      <c r="N231" s="1">
        <v>101.36666666666662</v>
      </c>
      <c r="O231" s="1">
        <v>24.949999999999992</v>
      </c>
      <c r="P231" s="1">
        <v>6.5863636363636369</v>
      </c>
      <c r="Q231" s="1">
        <v>9.3365079365079371</v>
      </c>
    </row>
    <row r="232" spans="1:17">
      <c r="A232" s="6">
        <v>44197</v>
      </c>
      <c r="B232" s="6" t="str">
        <f>VLOOKUP(C232,[1]Город!C:E,3,0)</f>
        <v>Красноярск</v>
      </c>
      <c r="C232" t="s">
        <v>44</v>
      </c>
      <c r="D232" t="s">
        <v>9</v>
      </c>
      <c r="E232">
        <v>2592747</v>
      </c>
      <c r="F232" s="4" t="s">
        <v>64</v>
      </c>
      <c r="G232" t="s">
        <v>25</v>
      </c>
      <c r="H232" s="1">
        <v>164.96659053600001</v>
      </c>
      <c r="I232" s="1">
        <v>21</v>
      </c>
      <c r="J232" s="1">
        <v>0</v>
      </c>
      <c r="K232">
        <v>26</v>
      </c>
      <c r="L232" s="9">
        <v>25</v>
      </c>
      <c r="M232" s="1">
        <v>0</v>
      </c>
      <c r="N232" s="1">
        <v>105.76666666666668</v>
      </c>
      <c r="O232" s="1">
        <v>13.166666666666663</v>
      </c>
      <c r="P232" s="1">
        <v>18.549074074074074</v>
      </c>
      <c r="Q232" s="1">
        <v>17.473684210526315</v>
      </c>
    </row>
    <row r="233" spans="1:17">
      <c r="A233" s="6">
        <v>44197</v>
      </c>
      <c r="B233" s="6" t="str">
        <f>VLOOKUP(C233,[1]Город!C:E,3,0)</f>
        <v>Екатеринбург</v>
      </c>
      <c r="C233" t="s">
        <v>31</v>
      </c>
      <c r="D233" t="s">
        <v>10</v>
      </c>
      <c r="E233">
        <v>2591129</v>
      </c>
      <c r="F233" s="4" t="s">
        <v>64</v>
      </c>
      <c r="G233" t="s">
        <v>25</v>
      </c>
      <c r="H233" s="1">
        <v>79.817123550200009</v>
      </c>
      <c r="I233" s="1">
        <v>26</v>
      </c>
      <c r="J233" s="1">
        <v>6</v>
      </c>
      <c r="K233">
        <v>175</v>
      </c>
      <c r="L233" s="9">
        <v>171</v>
      </c>
      <c r="M233" s="1">
        <v>142</v>
      </c>
      <c r="N233" s="1">
        <v>75.833333333333329</v>
      </c>
      <c r="O233" s="1">
        <v>153.8000000000001</v>
      </c>
      <c r="P233" s="1">
        <v>10.236559139784948</v>
      </c>
      <c r="Q233" s="1">
        <v>9.6750000000000025</v>
      </c>
    </row>
    <row r="234" spans="1:17">
      <c r="A234" s="6">
        <v>44197</v>
      </c>
      <c r="B234" s="6" t="str">
        <f>VLOOKUP(C234,[1]Город!C:E,3,0)</f>
        <v>Екатеринбург</v>
      </c>
      <c r="C234" t="s">
        <v>31</v>
      </c>
      <c r="D234" t="s">
        <v>13</v>
      </c>
      <c r="E234">
        <v>2591548</v>
      </c>
      <c r="F234" s="4" t="s">
        <v>64</v>
      </c>
      <c r="G234" t="s">
        <v>25</v>
      </c>
      <c r="H234" s="1">
        <v>143.81191621099998</v>
      </c>
      <c r="I234" s="1">
        <v>35</v>
      </c>
      <c r="J234" s="1">
        <v>7</v>
      </c>
      <c r="K234">
        <v>79</v>
      </c>
      <c r="L234" s="9">
        <v>79</v>
      </c>
      <c r="M234" s="1">
        <v>34</v>
      </c>
      <c r="N234" s="1">
        <v>102.41666666666661</v>
      </c>
      <c r="O234" s="1">
        <v>133.89999999999995</v>
      </c>
      <c r="P234" s="1">
        <v>5.7634146341463408</v>
      </c>
      <c r="Q234" s="1">
        <v>2.6720833333333354</v>
      </c>
    </row>
    <row r="235" spans="1:17">
      <c r="A235" s="6">
        <v>44197</v>
      </c>
      <c r="B235" s="6" t="str">
        <f>VLOOKUP(C235,[1]Город!C:E,3,0)</f>
        <v>Москва</v>
      </c>
      <c r="C235" t="s">
        <v>34</v>
      </c>
      <c r="D235" t="s">
        <v>12</v>
      </c>
      <c r="E235">
        <v>2592277</v>
      </c>
      <c r="F235" s="4" t="s">
        <v>61</v>
      </c>
      <c r="G235" t="s">
        <v>25</v>
      </c>
      <c r="H235" s="1">
        <v>65.753416903499996</v>
      </c>
      <c r="I235" s="1">
        <v>16</v>
      </c>
      <c r="J235" s="1">
        <v>7</v>
      </c>
      <c r="K235">
        <v>247</v>
      </c>
      <c r="L235" s="9">
        <v>245</v>
      </c>
      <c r="M235" s="1">
        <v>236</v>
      </c>
      <c r="N235" s="1">
        <v>140.46666666666667</v>
      </c>
      <c r="O235" s="1">
        <v>27.283333333333346</v>
      </c>
      <c r="P235" s="1">
        <v>17.960784313725494</v>
      </c>
      <c r="Q235" s="1">
        <v>8.0250000000000004</v>
      </c>
    </row>
    <row r="236" spans="1:17">
      <c r="A236" s="6">
        <v>44197</v>
      </c>
      <c r="B236" s="6" t="str">
        <f>VLOOKUP(C236,[1]Город!C:E,3,0)</f>
        <v>Новосибирск</v>
      </c>
      <c r="C236" t="s">
        <v>42</v>
      </c>
      <c r="D236" t="s">
        <v>10</v>
      </c>
      <c r="E236">
        <v>2592100</v>
      </c>
      <c r="F236" s="4" t="s">
        <v>61</v>
      </c>
      <c r="G236" t="s">
        <v>25</v>
      </c>
      <c r="H236" s="1">
        <v>102.99569736099996</v>
      </c>
      <c r="I236" s="1">
        <v>27</v>
      </c>
      <c r="J236" s="1">
        <v>10</v>
      </c>
      <c r="K236">
        <v>230</v>
      </c>
      <c r="L236" s="9">
        <v>226</v>
      </c>
      <c r="M236" s="1">
        <v>209</v>
      </c>
      <c r="N236" s="1">
        <v>158.36666666666676</v>
      </c>
      <c r="O236" s="1">
        <v>35.766666666666659</v>
      </c>
      <c r="P236" s="1">
        <v>13.35576923076923</v>
      </c>
      <c r="Q236" s="1">
        <v>6.8179999999999996</v>
      </c>
    </row>
    <row r="237" spans="1:17">
      <c r="A237" s="6">
        <v>44197</v>
      </c>
      <c r="B237" s="6" t="str">
        <f>VLOOKUP(C237,[1]Город!C:E,3,0)</f>
        <v>Казань</v>
      </c>
      <c r="C237" t="s">
        <v>36</v>
      </c>
      <c r="D237" t="s">
        <v>13</v>
      </c>
      <c r="E237">
        <v>2591384</v>
      </c>
      <c r="F237" s="4" t="s">
        <v>64</v>
      </c>
      <c r="G237" t="s">
        <v>25</v>
      </c>
      <c r="H237" s="1">
        <v>44.93875502329999</v>
      </c>
      <c r="I237" s="1">
        <v>27</v>
      </c>
      <c r="J237" s="1">
        <v>2</v>
      </c>
      <c r="K237">
        <v>43</v>
      </c>
      <c r="L237" s="9">
        <v>42</v>
      </c>
      <c r="M237" s="1">
        <v>9</v>
      </c>
      <c r="N237" s="1">
        <v>72.099999999999966</v>
      </c>
      <c r="O237" s="1">
        <v>70.75</v>
      </c>
      <c r="P237" s="1">
        <v>1.1907407407407404</v>
      </c>
      <c r="Q237" s="1">
        <v>17.601923076923075</v>
      </c>
    </row>
    <row r="238" spans="1:17">
      <c r="A238" s="6">
        <v>44197</v>
      </c>
      <c r="B238" s="6" t="str">
        <f>VLOOKUP(C238,[1]Город!C:E,3,0)</f>
        <v>Воронеж</v>
      </c>
      <c r="C238" t="s">
        <v>56</v>
      </c>
      <c r="D238" t="s">
        <v>11</v>
      </c>
      <c r="E238">
        <v>2592924</v>
      </c>
      <c r="F238" s="4" t="s">
        <v>72</v>
      </c>
      <c r="G238" t="s">
        <v>25</v>
      </c>
      <c r="H238" s="1">
        <v>196.47824119699999</v>
      </c>
      <c r="I238" s="1">
        <v>17</v>
      </c>
      <c r="J238" s="1">
        <v>1</v>
      </c>
      <c r="K238">
        <v>20</v>
      </c>
      <c r="L238" s="9">
        <v>20</v>
      </c>
      <c r="M238" s="1">
        <v>2</v>
      </c>
      <c r="N238" s="1">
        <v>162.75</v>
      </c>
      <c r="O238" s="1">
        <v>14.25</v>
      </c>
      <c r="P238" s="1">
        <v>6.6156250000000014</v>
      </c>
      <c r="Q238" s="1">
        <v>16.151111111111113</v>
      </c>
    </row>
    <row r="239" spans="1:17">
      <c r="A239" s="6">
        <v>44197</v>
      </c>
      <c r="B239" s="6" t="str">
        <f>VLOOKUP(C239,[1]Город!C:E,3,0)</f>
        <v>Новосибирск</v>
      </c>
      <c r="C239" t="s">
        <v>42</v>
      </c>
      <c r="D239" t="s">
        <v>8</v>
      </c>
      <c r="E239">
        <v>2592079</v>
      </c>
      <c r="F239" s="4" t="s">
        <v>70</v>
      </c>
      <c r="G239" t="s">
        <v>25</v>
      </c>
      <c r="H239" s="1">
        <v>68.978305826899998</v>
      </c>
      <c r="I239" s="1">
        <v>16</v>
      </c>
      <c r="J239" s="1">
        <v>4</v>
      </c>
      <c r="K239">
        <v>193</v>
      </c>
      <c r="L239" s="9">
        <v>193</v>
      </c>
      <c r="M239" s="1">
        <v>174</v>
      </c>
      <c r="N239" s="1">
        <v>126.46666666666667</v>
      </c>
      <c r="O239" s="1">
        <v>15.800000000000004</v>
      </c>
      <c r="P239" s="1">
        <v>3.5462962962962967</v>
      </c>
      <c r="Q239" s="1">
        <v>26.886274509803922</v>
      </c>
    </row>
    <row r="240" spans="1:17">
      <c r="A240" s="6">
        <v>44197</v>
      </c>
      <c r="B240" s="6" t="str">
        <f>VLOOKUP(C240,[1]Город!C:E,3,0)</f>
        <v>Екатеринбург</v>
      </c>
      <c r="C240" t="s">
        <v>31</v>
      </c>
      <c r="D240" t="s">
        <v>10</v>
      </c>
      <c r="E240">
        <v>2591625</v>
      </c>
      <c r="F240" s="4" t="s">
        <v>63</v>
      </c>
      <c r="G240" t="s">
        <v>25</v>
      </c>
      <c r="H240" s="1">
        <v>103.37615037400001</v>
      </c>
      <c r="I240" s="1">
        <v>27</v>
      </c>
      <c r="J240" s="1">
        <v>6</v>
      </c>
      <c r="K240">
        <v>242</v>
      </c>
      <c r="L240" s="9">
        <v>242</v>
      </c>
      <c r="M240" s="1">
        <v>204</v>
      </c>
      <c r="N240" s="1">
        <v>278.93333333333334</v>
      </c>
      <c r="O240" s="1">
        <v>24.783333333333335</v>
      </c>
      <c r="P240" s="1">
        <v>6.8000000000000007</v>
      </c>
      <c r="Q240" s="1">
        <v>5.3428571428571434</v>
      </c>
    </row>
    <row r="241" spans="1:17">
      <c r="A241" s="6">
        <v>44197</v>
      </c>
      <c r="B241" s="6" t="str">
        <f>VLOOKUP(C241,[1]Город!C:E,3,0)</f>
        <v>Екатеринбург</v>
      </c>
      <c r="C241" t="s">
        <v>31</v>
      </c>
      <c r="D241" t="s">
        <v>13</v>
      </c>
      <c r="E241">
        <v>2590730</v>
      </c>
      <c r="F241" s="4" t="s">
        <v>63</v>
      </c>
      <c r="G241" t="s">
        <v>25</v>
      </c>
      <c r="H241" s="1">
        <v>140.659742585</v>
      </c>
      <c r="I241" s="1">
        <v>34</v>
      </c>
      <c r="J241" s="1">
        <v>10</v>
      </c>
      <c r="K241">
        <v>217</v>
      </c>
      <c r="L241" s="9">
        <v>214</v>
      </c>
      <c r="M241" s="1">
        <v>179</v>
      </c>
      <c r="N241" s="1">
        <v>79.349999999999952</v>
      </c>
      <c r="O241" s="1">
        <v>176.8000000000001</v>
      </c>
      <c r="P241" s="1">
        <v>9.2866666666666671</v>
      </c>
      <c r="Q241" s="1">
        <v>7.1568627450980395</v>
      </c>
    </row>
    <row r="242" spans="1:17">
      <c r="A242" s="6">
        <v>44197</v>
      </c>
      <c r="B242" s="6" t="str">
        <f>VLOOKUP(C242,[1]Город!C:E,3,0)</f>
        <v>Москва</v>
      </c>
      <c r="C242" t="s">
        <v>39</v>
      </c>
      <c r="D242" t="s">
        <v>13</v>
      </c>
      <c r="E242">
        <v>2592534</v>
      </c>
      <c r="F242" s="4" t="s">
        <v>62</v>
      </c>
      <c r="G242" t="s">
        <v>25</v>
      </c>
      <c r="H242" s="1">
        <v>141.60091298800003</v>
      </c>
      <c r="I242" s="1">
        <v>13</v>
      </c>
      <c r="J242" s="1">
        <v>0</v>
      </c>
      <c r="K242">
        <v>15</v>
      </c>
      <c r="L242" s="9">
        <v>15</v>
      </c>
      <c r="M242" s="1">
        <v>0</v>
      </c>
      <c r="N242" s="1">
        <v>57.166666666666657</v>
      </c>
      <c r="O242" s="1">
        <v>31.100000000000005</v>
      </c>
      <c r="P242" s="1">
        <v>17.689743589743589</v>
      </c>
      <c r="Q242" s="1">
        <v>10.272222222222224</v>
      </c>
    </row>
    <row r="243" spans="1:17">
      <c r="A243" s="6">
        <v>44197</v>
      </c>
      <c r="B243" s="6" t="str">
        <f>VLOOKUP(C243,[1]Город!C:E,3,0)</f>
        <v>Волгоград</v>
      </c>
      <c r="C243" t="s">
        <v>45</v>
      </c>
      <c r="D243" t="s">
        <v>9</v>
      </c>
      <c r="E243">
        <v>2591746</v>
      </c>
      <c r="F243" s="4" t="s">
        <v>74</v>
      </c>
      <c r="G243" t="s">
        <v>25</v>
      </c>
      <c r="H243" s="1">
        <v>214.49343030099999</v>
      </c>
      <c r="I243" s="1">
        <v>19</v>
      </c>
      <c r="J243" s="1">
        <v>0</v>
      </c>
      <c r="K243">
        <v>23</v>
      </c>
      <c r="L243" s="9">
        <v>23</v>
      </c>
      <c r="M243" s="1">
        <v>0</v>
      </c>
      <c r="N243" s="1">
        <v>159.08333333333337</v>
      </c>
      <c r="O243" s="1">
        <v>19.983333333333341</v>
      </c>
      <c r="P243" s="1">
        <v>11.002777777777778</v>
      </c>
      <c r="Q243" s="1">
        <v>6.0231481481481488</v>
      </c>
    </row>
    <row r="244" spans="1:17">
      <c r="A244" s="6">
        <v>44197</v>
      </c>
      <c r="B244" s="6" t="str">
        <f>VLOOKUP(C244,[1]Город!C:E,3,0)</f>
        <v>Казань</v>
      </c>
      <c r="C244" t="s">
        <v>36</v>
      </c>
      <c r="D244" t="s">
        <v>9</v>
      </c>
      <c r="E244">
        <v>2591095</v>
      </c>
      <c r="F244" s="4" t="s">
        <v>70</v>
      </c>
      <c r="G244" t="s">
        <v>25</v>
      </c>
      <c r="H244" s="1">
        <v>59.529584082599996</v>
      </c>
      <c r="I244" s="1">
        <v>20</v>
      </c>
      <c r="J244" s="1">
        <v>2</v>
      </c>
      <c r="K244">
        <v>134</v>
      </c>
      <c r="L244" s="9">
        <v>132</v>
      </c>
      <c r="M244" s="1">
        <v>102</v>
      </c>
      <c r="N244" s="1">
        <v>98.216666666666683</v>
      </c>
      <c r="O244" s="1">
        <v>22.633333333333329</v>
      </c>
      <c r="P244" s="1">
        <v>6.5634615384615387</v>
      </c>
      <c r="Q244" s="1">
        <v>3.9899999999999993</v>
      </c>
    </row>
    <row r="245" spans="1:17">
      <c r="A245" s="6">
        <v>44197</v>
      </c>
      <c r="B245" s="6" t="str">
        <f>VLOOKUP(C245,[1]Город!C:E,3,0)</f>
        <v>Саратов</v>
      </c>
      <c r="C245" t="s">
        <v>55</v>
      </c>
      <c r="D245" t="s">
        <v>11</v>
      </c>
      <c r="E245">
        <v>2592976</v>
      </c>
      <c r="F245" s="4" t="s">
        <v>70</v>
      </c>
      <c r="G245" t="s">
        <v>26</v>
      </c>
      <c r="H245" s="1">
        <v>380.84096668599989</v>
      </c>
      <c r="I245" s="1">
        <v>16</v>
      </c>
      <c r="J245" s="1">
        <v>3</v>
      </c>
      <c r="K245">
        <v>49</v>
      </c>
      <c r="L245" s="9">
        <v>46</v>
      </c>
      <c r="M245" s="1">
        <v>29</v>
      </c>
      <c r="N245" s="1">
        <v>76.383333333333354</v>
      </c>
      <c r="O245" s="1">
        <v>170.09999999999997</v>
      </c>
      <c r="P245" s="1">
        <v>6.2039215686274503</v>
      </c>
      <c r="Q245" s="1">
        <v>3.8812499999999996</v>
      </c>
    </row>
    <row r="246" spans="1:17">
      <c r="A246" s="6">
        <v>44197</v>
      </c>
      <c r="B246" s="6" t="str">
        <f>VLOOKUP(C246,[1]Город!C:E,3,0)</f>
        <v>Санкт-Петербург</v>
      </c>
      <c r="C246" t="s">
        <v>29</v>
      </c>
      <c r="D246" t="s">
        <v>10</v>
      </c>
      <c r="E246">
        <v>2593667</v>
      </c>
      <c r="F246" s="4" t="s">
        <v>79</v>
      </c>
      <c r="G246" t="s">
        <v>25</v>
      </c>
      <c r="H246" s="1">
        <v>52.574078491899996</v>
      </c>
      <c r="I246" s="1">
        <v>11</v>
      </c>
      <c r="J246" s="1">
        <v>0</v>
      </c>
      <c r="K246">
        <v>13</v>
      </c>
      <c r="L246" s="9">
        <v>13</v>
      </c>
      <c r="M246" s="1">
        <v>0</v>
      </c>
      <c r="N246" s="1">
        <v>3.95</v>
      </c>
      <c r="O246" s="1">
        <v>3.7</v>
      </c>
      <c r="P246" s="1">
        <v>0.6924242424242425</v>
      </c>
      <c r="Q246" s="1">
        <v>4.7566666666666659</v>
      </c>
    </row>
    <row r="247" spans="1:17">
      <c r="A247" s="6">
        <v>44197</v>
      </c>
      <c r="B247" s="6" t="str">
        <f>VLOOKUP(C247,[1]Город!C:E,3,0)</f>
        <v>Новосибирск</v>
      </c>
      <c r="C247" t="s">
        <v>42</v>
      </c>
      <c r="D247" t="s">
        <v>10</v>
      </c>
      <c r="E247">
        <v>2592082</v>
      </c>
      <c r="F247" s="4" t="s">
        <v>68</v>
      </c>
      <c r="G247" t="s">
        <v>25</v>
      </c>
      <c r="H247" s="1">
        <v>125.05622362999995</v>
      </c>
      <c r="I247" s="1">
        <v>42</v>
      </c>
      <c r="J247" s="1">
        <v>7</v>
      </c>
      <c r="K247">
        <v>127</v>
      </c>
      <c r="L247" s="9">
        <v>127</v>
      </c>
      <c r="M247" s="1">
        <v>68</v>
      </c>
      <c r="N247" s="1">
        <v>83</v>
      </c>
      <c r="O247" s="1">
        <v>57.266666666666708</v>
      </c>
      <c r="P247" s="1">
        <v>4.4579710144927533</v>
      </c>
      <c r="Q247" s="1">
        <v>4.332592592592591</v>
      </c>
    </row>
    <row r="248" spans="1:17">
      <c r="A248" s="6">
        <v>44197</v>
      </c>
      <c r="B248" s="6" t="str">
        <f>VLOOKUP(C248,[1]Город!C:E,3,0)</f>
        <v>Московская область</v>
      </c>
      <c r="C248" t="s">
        <v>50</v>
      </c>
      <c r="D248" t="s">
        <v>12</v>
      </c>
      <c r="E248">
        <v>2592913</v>
      </c>
      <c r="F248" s="4" t="s">
        <v>61</v>
      </c>
      <c r="G248" t="s">
        <v>25</v>
      </c>
      <c r="H248" s="1">
        <v>369.06229477900007</v>
      </c>
      <c r="I248" s="1">
        <v>18</v>
      </c>
      <c r="J248" s="1">
        <v>0</v>
      </c>
      <c r="K248">
        <v>26</v>
      </c>
      <c r="L248" s="9">
        <v>26</v>
      </c>
      <c r="M248" s="1">
        <v>0</v>
      </c>
      <c r="N248" s="1">
        <v>85.983333333333334</v>
      </c>
      <c r="O248" s="1">
        <v>36.833333333333343</v>
      </c>
      <c r="P248" s="1">
        <v>11.251851851851852</v>
      </c>
      <c r="Q248" s="1">
        <v>23.121568627450976</v>
      </c>
    </row>
    <row r="249" spans="1:17">
      <c r="A249" s="6">
        <v>44197</v>
      </c>
      <c r="B249" s="6" t="str">
        <f>VLOOKUP(C249,[1]Город!C:E,3,0)</f>
        <v>Екатеринбург</v>
      </c>
      <c r="C249" t="s">
        <v>31</v>
      </c>
      <c r="D249" t="s">
        <v>12</v>
      </c>
      <c r="E249">
        <v>2590710</v>
      </c>
      <c r="F249" s="4" t="s">
        <v>63</v>
      </c>
      <c r="G249" t="s">
        <v>25</v>
      </c>
      <c r="H249" s="1">
        <v>185.57295032299999</v>
      </c>
      <c r="I249" s="1">
        <v>42</v>
      </c>
      <c r="J249" s="1">
        <v>14</v>
      </c>
      <c r="K249">
        <v>162</v>
      </c>
      <c r="L249" s="9">
        <v>160</v>
      </c>
      <c r="M249" s="1">
        <v>117</v>
      </c>
      <c r="N249" s="1">
        <v>100.18333333333338</v>
      </c>
      <c r="O249" s="1">
        <v>127.38333333333327</v>
      </c>
      <c r="P249" s="1">
        <v>6.8280303030303031</v>
      </c>
      <c r="Q249" s="1">
        <v>1.6050387596899227</v>
      </c>
    </row>
    <row r="250" spans="1:17">
      <c r="A250" s="6">
        <v>44197</v>
      </c>
      <c r="B250" s="6" t="str">
        <f>VLOOKUP(C250,[1]Город!C:E,3,0)</f>
        <v>Санкт-Петербург</v>
      </c>
      <c r="C250" t="s">
        <v>29</v>
      </c>
      <c r="D250" t="s">
        <v>8</v>
      </c>
      <c r="E250">
        <v>2591179</v>
      </c>
      <c r="F250" s="4" t="s">
        <v>64</v>
      </c>
      <c r="G250" t="s">
        <v>26</v>
      </c>
      <c r="H250" s="1">
        <v>169.75793563100004</v>
      </c>
      <c r="I250" s="1">
        <v>28</v>
      </c>
      <c r="J250" s="1">
        <v>1</v>
      </c>
      <c r="K250">
        <v>43</v>
      </c>
      <c r="L250" s="9">
        <v>42</v>
      </c>
      <c r="M250" s="1">
        <v>5</v>
      </c>
      <c r="N250" s="1">
        <v>57.616666666666625</v>
      </c>
      <c r="O250" s="1">
        <v>72.983333333333334</v>
      </c>
      <c r="P250" s="1">
        <v>5.4452380952380954</v>
      </c>
      <c r="Q250" s="1">
        <v>7.0586419753086433</v>
      </c>
    </row>
  </sheetData>
  <autoFilter ref="A1:Q250"/>
  <conditionalFormatting sqref="E1:E1048576">
    <cfRule type="duplicateValues" dxfId="0" priority="1"/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2023-01-25T12:57:14Z</dcterms:created>
  <dcterms:modified xsi:type="dcterms:W3CDTF">2026-08-20T17:37:07Z</dcterms:modified>
</cp:coreProperties>
</file>